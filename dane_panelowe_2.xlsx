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640" windowHeight="11160"/>
  </bookViews>
  <sheets>
    <sheet name="Zbiorcza" sheetId="1" r:id="rId1"/>
    <sheet name="Gdansk_2" sheetId="20" r:id="rId2"/>
    <sheet name="Gdansk_2d" sheetId="21" r:id="rId3"/>
    <sheet name="Wroclaw_2" sheetId="8" r:id="rId4"/>
    <sheet name="Wroclaw_2d" sheetId="22" r:id="rId5"/>
    <sheet name="Krakow_2" sheetId="9" r:id="rId6"/>
    <sheet name="Krakow_2d" sheetId="23" r:id="rId7"/>
    <sheet name="Warszawa_2" sheetId="10" r:id="rId8"/>
    <sheet name="Warszawa_2d" sheetId="24" r:id="rId9"/>
    <sheet name="PROGNOZA" sheetId="25" r:id="rId10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5" i="25" l="1"/>
  <c r="C75" i="25" l="1" a="1"/>
  <c r="D75" i="25" s="1"/>
  <c r="C60" i="25" a="1"/>
  <c r="C60" i="25" s="1"/>
  <c r="D49" i="25"/>
  <c r="C75" i="25" l="1"/>
  <c r="E75" i="25"/>
  <c r="G75" i="25"/>
  <c r="F75" i="25"/>
  <c r="H60" i="25"/>
  <c r="E60" i="25"/>
  <c r="D60" i="25"/>
  <c r="G60" i="25"/>
  <c r="F60" i="25"/>
  <c r="C44" i="25" a="1"/>
  <c r="D44" i="25" s="1"/>
  <c r="D35" i="25"/>
  <c r="X38" i="1"/>
  <c r="X35" i="1"/>
  <c r="X32" i="1"/>
  <c r="X29" i="1"/>
  <c r="Z225" i="1"/>
  <c r="Y225" i="1"/>
  <c r="Z21" i="1"/>
  <c r="Y21" i="1"/>
  <c r="C61" i="25" l="1" a="1"/>
  <c r="C61" i="25" s="1"/>
  <c r="C62" i="25" s="1"/>
  <c r="C63" i="25" s="1"/>
  <c r="C44" i="25"/>
  <c r="C76" i="25" a="1"/>
  <c r="C76" i="25" s="1"/>
  <c r="C77" i="25" s="1"/>
  <c r="C78" i="25" s="1"/>
  <c r="F44" i="25"/>
  <c r="E44" i="25"/>
  <c r="A55" i="24"/>
  <c r="B55" i="24"/>
  <c r="C55" i="24"/>
  <c r="D55" i="24"/>
  <c r="E55" i="24"/>
  <c r="F55" i="24"/>
  <c r="G55" i="24"/>
  <c r="H55" i="24"/>
  <c r="I55" i="24"/>
  <c r="A56" i="24"/>
  <c r="B56" i="24"/>
  <c r="C56" i="24"/>
  <c r="D56" i="24"/>
  <c r="E56" i="24"/>
  <c r="F56" i="24"/>
  <c r="G56" i="24"/>
  <c r="H56" i="24"/>
  <c r="I56" i="24"/>
  <c r="A57" i="24"/>
  <c r="B57" i="24"/>
  <c r="C57" i="24"/>
  <c r="D57" i="24"/>
  <c r="E57" i="24"/>
  <c r="F57" i="24"/>
  <c r="G57" i="24"/>
  <c r="H57" i="24"/>
  <c r="I57" i="24"/>
  <c r="A58" i="24"/>
  <c r="B58" i="24"/>
  <c r="C58" i="24"/>
  <c r="D58" i="24"/>
  <c r="E58" i="24"/>
  <c r="F58" i="24"/>
  <c r="G58" i="24"/>
  <c r="H58" i="24"/>
  <c r="I58" i="24"/>
  <c r="A59" i="24"/>
  <c r="B59" i="24"/>
  <c r="C59" i="24"/>
  <c r="D59" i="24"/>
  <c r="E59" i="24"/>
  <c r="F59" i="24"/>
  <c r="G59" i="24"/>
  <c r="H59" i="24"/>
  <c r="I59" i="24"/>
  <c r="A60" i="24"/>
  <c r="B60" i="24"/>
  <c r="C60" i="24"/>
  <c r="D60" i="24"/>
  <c r="E60" i="24"/>
  <c r="F60" i="24"/>
  <c r="G60" i="24"/>
  <c r="H60" i="24"/>
  <c r="I60" i="24"/>
  <c r="A61" i="24"/>
  <c r="B61" i="24"/>
  <c r="C61" i="24"/>
  <c r="D61" i="24"/>
  <c r="E61" i="24"/>
  <c r="F61" i="24"/>
  <c r="G61" i="24"/>
  <c r="H61" i="24"/>
  <c r="I61" i="24"/>
  <c r="A62" i="24"/>
  <c r="B62" i="24"/>
  <c r="C62" i="24"/>
  <c r="D62" i="24"/>
  <c r="E62" i="24"/>
  <c r="F62" i="24"/>
  <c r="G62" i="24"/>
  <c r="H62" i="24"/>
  <c r="I62" i="24"/>
  <c r="A63" i="24"/>
  <c r="B63" i="24"/>
  <c r="C63" i="24"/>
  <c r="D63" i="24"/>
  <c r="E63" i="24"/>
  <c r="F63" i="24"/>
  <c r="G63" i="24"/>
  <c r="H63" i="24"/>
  <c r="I63" i="24"/>
  <c r="A64" i="24"/>
  <c r="B64" i="24"/>
  <c r="C64" i="24"/>
  <c r="D64" i="24"/>
  <c r="E64" i="24"/>
  <c r="F64" i="24"/>
  <c r="G64" i="24"/>
  <c r="H64" i="24"/>
  <c r="I64" i="24"/>
  <c r="A41" i="24"/>
  <c r="B41" i="24"/>
  <c r="C41" i="24"/>
  <c r="D41" i="24"/>
  <c r="E41" i="24"/>
  <c r="F41" i="24"/>
  <c r="G41" i="24"/>
  <c r="H41" i="24"/>
  <c r="I41" i="24"/>
  <c r="A42" i="24"/>
  <c r="B42" i="24"/>
  <c r="C42" i="24"/>
  <c r="D42" i="24"/>
  <c r="E42" i="24"/>
  <c r="F42" i="24"/>
  <c r="G42" i="24"/>
  <c r="H42" i="24"/>
  <c r="I42" i="24"/>
  <c r="A43" i="24"/>
  <c r="B43" i="24"/>
  <c r="C43" i="24"/>
  <c r="D43" i="24"/>
  <c r="E43" i="24"/>
  <c r="F43" i="24"/>
  <c r="G43" i="24"/>
  <c r="H43" i="24"/>
  <c r="I43" i="24"/>
  <c r="A44" i="24"/>
  <c r="B44" i="24"/>
  <c r="C44" i="24"/>
  <c r="D44" i="24"/>
  <c r="E44" i="24"/>
  <c r="F44" i="24"/>
  <c r="G44" i="24"/>
  <c r="H44" i="24"/>
  <c r="I44" i="24"/>
  <c r="A45" i="24"/>
  <c r="B45" i="24"/>
  <c r="C45" i="24"/>
  <c r="D45" i="24"/>
  <c r="E45" i="24"/>
  <c r="F45" i="24"/>
  <c r="G45" i="24"/>
  <c r="H45" i="24"/>
  <c r="I45" i="24"/>
  <c r="A46" i="24"/>
  <c r="B46" i="24"/>
  <c r="C46" i="24"/>
  <c r="D46" i="24"/>
  <c r="E46" i="24"/>
  <c r="F46" i="24"/>
  <c r="G46" i="24"/>
  <c r="H46" i="24"/>
  <c r="I46" i="24"/>
  <c r="A47" i="24"/>
  <c r="B47" i="24"/>
  <c r="C47" i="24"/>
  <c r="D47" i="24"/>
  <c r="E47" i="24"/>
  <c r="F47" i="24"/>
  <c r="G47" i="24"/>
  <c r="H47" i="24"/>
  <c r="I47" i="24"/>
  <c r="A48" i="24"/>
  <c r="B48" i="24"/>
  <c r="C48" i="24"/>
  <c r="D48" i="24"/>
  <c r="E48" i="24"/>
  <c r="F48" i="24"/>
  <c r="G48" i="24"/>
  <c r="H48" i="24"/>
  <c r="I48" i="24"/>
  <c r="A49" i="24"/>
  <c r="B49" i="24"/>
  <c r="C49" i="24"/>
  <c r="D49" i="24"/>
  <c r="E49" i="24"/>
  <c r="F49" i="24"/>
  <c r="G49" i="24"/>
  <c r="H49" i="24"/>
  <c r="I49" i="24"/>
  <c r="A50" i="24"/>
  <c r="B50" i="24"/>
  <c r="C50" i="24"/>
  <c r="D50" i="24"/>
  <c r="E50" i="24"/>
  <c r="F50" i="24"/>
  <c r="G50" i="24"/>
  <c r="H50" i="24"/>
  <c r="I50" i="24"/>
  <c r="A51" i="24"/>
  <c r="B51" i="24"/>
  <c r="C51" i="24"/>
  <c r="D51" i="24"/>
  <c r="E51" i="24"/>
  <c r="F51" i="24"/>
  <c r="G51" i="24"/>
  <c r="H51" i="24"/>
  <c r="I51" i="24"/>
  <c r="A52" i="24"/>
  <c r="B52" i="24"/>
  <c r="C52" i="24"/>
  <c r="D52" i="24"/>
  <c r="E52" i="24"/>
  <c r="F52" i="24"/>
  <c r="G52" i="24"/>
  <c r="H52" i="24"/>
  <c r="I52" i="24"/>
  <c r="A53" i="24"/>
  <c r="B53" i="24"/>
  <c r="C53" i="24"/>
  <c r="D53" i="24"/>
  <c r="E53" i="24"/>
  <c r="F53" i="24"/>
  <c r="G53" i="24"/>
  <c r="H53" i="24"/>
  <c r="I53" i="24"/>
  <c r="A54" i="24"/>
  <c r="B54" i="24"/>
  <c r="C54" i="24"/>
  <c r="D54" i="24"/>
  <c r="E54" i="24"/>
  <c r="F54" i="24"/>
  <c r="G54" i="24"/>
  <c r="H54" i="24"/>
  <c r="I54" i="24"/>
  <c r="A2" i="24"/>
  <c r="B2" i="24"/>
  <c r="C2" i="24"/>
  <c r="D2" i="24"/>
  <c r="E2" i="24"/>
  <c r="F2" i="24"/>
  <c r="G2" i="24"/>
  <c r="H2" i="24"/>
  <c r="I2" i="24"/>
  <c r="A3" i="24"/>
  <c r="B3" i="24"/>
  <c r="C3" i="24"/>
  <c r="D3" i="24"/>
  <c r="E3" i="24"/>
  <c r="F3" i="24"/>
  <c r="G3" i="24"/>
  <c r="H3" i="24"/>
  <c r="I3" i="24"/>
  <c r="A4" i="24"/>
  <c r="B4" i="24"/>
  <c r="C4" i="24"/>
  <c r="D4" i="24"/>
  <c r="E4" i="24"/>
  <c r="F4" i="24"/>
  <c r="G4" i="24"/>
  <c r="H4" i="24"/>
  <c r="I4" i="24"/>
  <c r="A5" i="24"/>
  <c r="B5" i="24"/>
  <c r="C5" i="24"/>
  <c r="D5" i="24"/>
  <c r="E5" i="24"/>
  <c r="F5" i="24"/>
  <c r="G5" i="24"/>
  <c r="H5" i="24"/>
  <c r="I5" i="24"/>
  <c r="A6" i="24"/>
  <c r="B6" i="24"/>
  <c r="C6" i="24"/>
  <c r="D6" i="24"/>
  <c r="E6" i="24"/>
  <c r="F6" i="24"/>
  <c r="G6" i="24"/>
  <c r="H6" i="24"/>
  <c r="I6" i="24"/>
  <c r="A7" i="24"/>
  <c r="B7" i="24"/>
  <c r="C7" i="24"/>
  <c r="D7" i="24"/>
  <c r="E7" i="24"/>
  <c r="F7" i="24"/>
  <c r="G7" i="24"/>
  <c r="H7" i="24"/>
  <c r="I7" i="24"/>
  <c r="A8" i="24"/>
  <c r="B8" i="24"/>
  <c r="C8" i="24"/>
  <c r="D8" i="24"/>
  <c r="E8" i="24"/>
  <c r="F8" i="24"/>
  <c r="G8" i="24"/>
  <c r="H8" i="24"/>
  <c r="I8" i="24"/>
  <c r="A9" i="24"/>
  <c r="B9" i="24"/>
  <c r="C9" i="24"/>
  <c r="D9" i="24"/>
  <c r="E9" i="24"/>
  <c r="F9" i="24"/>
  <c r="G9" i="24"/>
  <c r="H9" i="24"/>
  <c r="I9" i="24"/>
  <c r="A10" i="24"/>
  <c r="B10" i="24"/>
  <c r="C10" i="24"/>
  <c r="D10" i="24"/>
  <c r="E10" i="24"/>
  <c r="F10" i="24"/>
  <c r="G10" i="24"/>
  <c r="H10" i="24"/>
  <c r="I10" i="24"/>
  <c r="A11" i="24"/>
  <c r="B11" i="24"/>
  <c r="C11" i="24"/>
  <c r="D11" i="24"/>
  <c r="E11" i="24"/>
  <c r="F11" i="24"/>
  <c r="G11" i="24"/>
  <c r="H11" i="24"/>
  <c r="I11" i="24"/>
  <c r="A12" i="24"/>
  <c r="B12" i="24"/>
  <c r="C12" i="24"/>
  <c r="D12" i="24"/>
  <c r="E12" i="24"/>
  <c r="F12" i="24"/>
  <c r="G12" i="24"/>
  <c r="H12" i="24"/>
  <c r="I12" i="24"/>
  <c r="A13" i="24"/>
  <c r="B13" i="24"/>
  <c r="C13" i="24"/>
  <c r="D13" i="24"/>
  <c r="E13" i="24"/>
  <c r="F13" i="24"/>
  <c r="G13" i="24"/>
  <c r="H13" i="24"/>
  <c r="I13" i="24"/>
  <c r="A14" i="24"/>
  <c r="B14" i="24"/>
  <c r="C14" i="24"/>
  <c r="D14" i="24"/>
  <c r="E14" i="24"/>
  <c r="F14" i="24"/>
  <c r="G14" i="24"/>
  <c r="H14" i="24"/>
  <c r="I14" i="24"/>
  <c r="A15" i="24"/>
  <c r="B15" i="24"/>
  <c r="C15" i="24"/>
  <c r="D15" i="24"/>
  <c r="E15" i="24"/>
  <c r="F15" i="24"/>
  <c r="G15" i="24"/>
  <c r="H15" i="24"/>
  <c r="I15" i="24"/>
  <c r="A16" i="24"/>
  <c r="B16" i="24"/>
  <c r="C16" i="24"/>
  <c r="D16" i="24"/>
  <c r="E16" i="24"/>
  <c r="F16" i="24"/>
  <c r="G16" i="24"/>
  <c r="H16" i="24"/>
  <c r="I16" i="24"/>
  <c r="A17" i="24"/>
  <c r="B17" i="24"/>
  <c r="C17" i="24"/>
  <c r="D17" i="24"/>
  <c r="E17" i="24"/>
  <c r="F17" i="24"/>
  <c r="G17" i="24"/>
  <c r="H17" i="24"/>
  <c r="I17" i="24"/>
  <c r="A18" i="24"/>
  <c r="B18" i="24"/>
  <c r="C18" i="24"/>
  <c r="D18" i="24"/>
  <c r="E18" i="24"/>
  <c r="F18" i="24"/>
  <c r="G18" i="24"/>
  <c r="H18" i="24"/>
  <c r="I18" i="24"/>
  <c r="A19" i="24"/>
  <c r="B19" i="24"/>
  <c r="C19" i="24"/>
  <c r="D19" i="24"/>
  <c r="E19" i="24"/>
  <c r="F19" i="24"/>
  <c r="G19" i="24"/>
  <c r="H19" i="24"/>
  <c r="I19" i="24"/>
  <c r="A20" i="24"/>
  <c r="B20" i="24"/>
  <c r="C20" i="24"/>
  <c r="D20" i="24"/>
  <c r="E20" i="24"/>
  <c r="F20" i="24"/>
  <c r="G20" i="24"/>
  <c r="H20" i="24"/>
  <c r="I20" i="24"/>
  <c r="A21" i="24"/>
  <c r="B21" i="24"/>
  <c r="C21" i="24"/>
  <c r="D21" i="24"/>
  <c r="E21" i="24"/>
  <c r="F21" i="24"/>
  <c r="G21" i="24"/>
  <c r="H21" i="24"/>
  <c r="I21" i="24"/>
  <c r="A22" i="24"/>
  <c r="B22" i="24"/>
  <c r="C22" i="24"/>
  <c r="D22" i="24"/>
  <c r="E22" i="24"/>
  <c r="F22" i="24"/>
  <c r="G22" i="24"/>
  <c r="H22" i="24"/>
  <c r="I22" i="24"/>
  <c r="A23" i="24"/>
  <c r="B23" i="24"/>
  <c r="C23" i="24"/>
  <c r="D23" i="24"/>
  <c r="E23" i="24"/>
  <c r="F23" i="24"/>
  <c r="G23" i="24"/>
  <c r="H23" i="24"/>
  <c r="I23" i="24"/>
  <c r="A24" i="24"/>
  <c r="B24" i="24"/>
  <c r="C24" i="24"/>
  <c r="D24" i="24"/>
  <c r="E24" i="24"/>
  <c r="F24" i="24"/>
  <c r="G24" i="24"/>
  <c r="H24" i="24"/>
  <c r="I24" i="24"/>
  <c r="A25" i="24"/>
  <c r="B25" i="24"/>
  <c r="C25" i="24"/>
  <c r="D25" i="24"/>
  <c r="E25" i="24"/>
  <c r="F25" i="24"/>
  <c r="G25" i="24"/>
  <c r="H25" i="24"/>
  <c r="I25" i="24"/>
  <c r="A26" i="24"/>
  <c r="B26" i="24"/>
  <c r="C26" i="24"/>
  <c r="D26" i="24"/>
  <c r="E26" i="24"/>
  <c r="F26" i="24"/>
  <c r="G26" i="24"/>
  <c r="H26" i="24"/>
  <c r="I26" i="24"/>
  <c r="A27" i="24"/>
  <c r="B27" i="24"/>
  <c r="C27" i="24"/>
  <c r="D27" i="24"/>
  <c r="E27" i="24"/>
  <c r="F27" i="24"/>
  <c r="G27" i="24"/>
  <c r="H27" i="24"/>
  <c r="I27" i="24"/>
  <c r="A28" i="24"/>
  <c r="B28" i="24"/>
  <c r="C28" i="24"/>
  <c r="D28" i="24"/>
  <c r="E28" i="24"/>
  <c r="F28" i="24"/>
  <c r="G28" i="24"/>
  <c r="H28" i="24"/>
  <c r="I28" i="24"/>
  <c r="A29" i="24"/>
  <c r="B29" i="24"/>
  <c r="C29" i="24"/>
  <c r="D29" i="24"/>
  <c r="E29" i="24"/>
  <c r="F29" i="24"/>
  <c r="G29" i="24"/>
  <c r="H29" i="24"/>
  <c r="I29" i="24"/>
  <c r="A30" i="24"/>
  <c r="B30" i="24"/>
  <c r="C30" i="24"/>
  <c r="D30" i="24"/>
  <c r="E30" i="24"/>
  <c r="F30" i="24"/>
  <c r="G30" i="24"/>
  <c r="H30" i="24"/>
  <c r="I30" i="24"/>
  <c r="A31" i="24"/>
  <c r="B31" i="24"/>
  <c r="C31" i="24"/>
  <c r="D31" i="24"/>
  <c r="E31" i="24"/>
  <c r="F31" i="24"/>
  <c r="G31" i="24"/>
  <c r="H31" i="24"/>
  <c r="I31" i="24"/>
  <c r="A32" i="24"/>
  <c r="B32" i="24"/>
  <c r="C32" i="24"/>
  <c r="D32" i="24"/>
  <c r="E32" i="24"/>
  <c r="F32" i="24"/>
  <c r="G32" i="24"/>
  <c r="H32" i="24"/>
  <c r="I32" i="24"/>
  <c r="A33" i="24"/>
  <c r="B33" i="24"/>
  <c r="C33" i="24"/>
  <c r="D33" i="24"/>
  <c r="E33" i="24"/>
  <c r="F33" i="24"/>
  <c r="G33" i="24"/>
  <c r="H33" i="24"/>
  <c r="I33" i="24"/>
  <c r="A34" i="24"/>
  <c r="B34" i="24"/>
  <c r="C34" i="24"/>
  <c r="D34" i="24"/>
  <c r="E34" i="24"/>
  <c r="F34" i="24"/>
  <c r="G34" i="24"/>
  <c r="H34" i="24"/>
  <c r="I34" i="24"/>
  <c r="A35" i="24"/>
  <c r="B35" i="24"/>
  <c r="C35" i="24"/>
  <c r="D35" i="24"/>
  <c r="E35" i="24"/>
  <c r="F35" i="24"/>
  <c r="G35" i="24"/>
  <c r="H35" i="24"/>
  <c r="I35" i="24"/>
  <c r="A36" i="24"/>
  <c r="B36" i="24"/>
  <c r="C36" i="24"/>
  <c r="D36" i="24"/>
  <c r="E36" i="24"/>
  <c r="F36" i="24"/>
  <c r="G36" i="24"/>
  <c r="H36" i="24"/>
  <c r="I36" i="24"/>
  <c r="A37" i="24"/>
  <c r="B37" i="24"/>
  <c r="C37" i="24"/>
  <c r="D37" i="24"/>
  <c r="E37" i="24"/>
  <c r="F37" i="24"/>
  <c r="G37" i="24"/>
  <c r="H37" i="24"/>
  <c r="I37" i="24"/>
  <c r="A38" i="24"/>
  <c r="B38" i="24"/>
  <c r="C38" i="24"/>
  <c r="D38" i="24"/>
  <c r="E38" i="24"/>
  <c r="F38" i="24"/>
  <c r="G38" i="24"/>
  <c r="H38" i="24"/>
  <c r="I38" i="24"/>
  <c r="A39" i="24"/>
  <c r="B39" i="24"/>
  <c r="C39" i="24"/>
  <c r="D39" i="24"/>
  <c r="E39" i="24"/>
  <c r="F39" i="24"/>
  <c r="G39" i="24"/>
  <c r="H39" i="24"/>
  <c r="I39" i="24"/>
  <c r="A40" i="24"/>
  <c r="B40" i="24"/>
  <c r="C40" i="24"/>
  <c r="D40" i="24"/>
  <c r="E40" i="24"/>
  <c r="F40" i="24"/>
  <c r="G40" i="24"/>
  <c r="H40" i="24"/>
  <c r="I40" i="24"/>
  <c r="B1" i="24"/>
  <c r="C1" i="24"/>
  <c r="D1" i="24"/>
  <c r="E1" i="24"/>
  <c r="F1" i="24"/>
  <c r="G1" i="24"/>
  <c r="H1" i="24"/>
  <c r="I1" i="24"/>
  <c r="A1" i="24"/>
  <c r="A53" i="23"/>
  <c r="B53" i="23"/>
  <c r="C53" i="23"/>
  <c r="D53" i="23"/>
  <c r="E53" i="23"/>
  <c r="F53" i="23"/>
  <c r="G53" i="23"/>
  <c r="H53" i="23"/>
  <c r="I53" i="23"/>
  <c r="A54" i="23"/>
  <c r="B54" i="23"/>
  <c r="C54" i="23"/>
  <c r="D54" i="23"/>
  <c r="E54" i="23"/>
  <c r="F54" i="23"/>
  <c r="G54" i="23"/>
  <c r="H54" i="23"/>
  <c r="I54" i="23"/>
  <c r="A55" i="23"/>
  <c r="B55" i="23"/>
  <c r="C55" i="23"/>
  <c r="D55" i="23"/>
  <c r="E55" i="23"/>
  <c r="F55" i="23"/>
  <c r="G55" i="23"/>
  <c r="H55" i="23"/>
  <c r="I55" i="23"/>
  <c r="A56" i="23"/>
  <c r="B56" i="23"/>
  <c r="C56" i="23"/>
  <c r="D56" i="23"/>
  <c r="E56" i="23"/>
  <c r="F56" i="23"/>
  <c r="G56" i="23"/>
  <c r="H56" i="23"/>
  <c r="I56" i="23"/>
  <c r="A57" i="23"/>
  <c r="B57" i="23"/>
  <c r="C57" i="23"/>
  <c r="D57" i="23"/>
  <c r="E57" i="23"/>
  <c r="F57" i="23"/>
  <c r="G57" i="23"/>
  <c r="H57" i="23"/>
  <c r="I57" i="23"/>
  <c r="A58" i="23"/>
  <c r="B58" i="23"/>
  <c r="C58" i="23"/>
  <c r="D58" i="23"/>
  <c r="E58" i="23"/>
  <c r="F58" i="23"/>
  <c r="G58" i="23"/>
  <c r="H58" i="23"/>
  <c r="I58" i="23"/>
  <c r="A59" i="23"/>
  <c r="B59" i="23"/>
  <c r="C59" i="23"/>
  <c r="D59" i="23"/>
  <c r="E59" i="23"/>
  <c r="F59" i="23"/>
  <c r="G59" i="23"/>
  <c r="H59" i="23"/>
  <c r="I59" i="23"/>
  <c r="A60" i="23"/>
  <c r="B60" i="23"/>
  <c r="C60" i="23"/>
  <c r="D60" i="23"/>
  <c r="E60" i="23"/>
  <c r="F60" i="23"/>
  <c r="G60" i="23"/>
  <c r="H60" i="23"/>
  <c r="I60" i="23"/>
  <c r="A61" i="23"/>
  <c r="B61" i="23"/>
  <c r="C61" i="23"/>
  <c r="D61" i="23"/>
  <c r="E61" i="23"/>
  <c r="F61" i="23"/>
  <c r="G61" i="23"/>
  <c r="H61" i="23"/>
  <c r="I61" i="23"/>
  <c r="A62" i="23"/>
  <c r="B62" i="23"/>
  <c r="C62" i="23"/>
  <c r="D62" i="23"/>
  <c r="E62" i="23"/>
  <c r="F62" i="23"/>
  <c r="G62" i="23"/>
  <c r="H62" i="23"/>
  <c r="I62" i="23"/>
  <c r="A63" i="23"/>
  <c r="B63" i="23"/>
  <c r="C63" i="23"/>
  <c r="D63" i="23"/>
  <c r="E63" i="23"/>
  <c r="F63" i="23"/>
  <c r="G63" i="23"/>
  <c r="H63" i="23"/>
  <c r="I63" i="23"/>
  <c r="A64" i="23"/>
  <c r="B64" i="23"/>
  <c r="C64" i="23"/>
  <c r="D64" i="23"/>
  <c r="E64" i="23"/>
  <c r="F64" i="23"/>
  <c r="G64" i="23"/>
  <c r="H64" i="23"/>
  <c r="I64" i="23"/>
  <c r="A34" i="23"/>
  <c r="B34" i="23"/>
  <c r="C34" i="23"/>
  <c r="D34" i="23"/>
  <c r="E34" i="23"/>
  <c r="F34" i="23"/>
  <c r="G34" i="23"/>
  <c r="H34" i="23"/>
  <c r="I34" i="23"/>
  <c r="A35" i="23"/>
  <c r="B35" i="23"/>
  <c r="C35" i="23"/>
  <c r="D35" i="23"/>
  <c r="E35" i="23"/>
  <c r="F35" i="23"/>
  <c r="G35" i="23"/>
  <c r="H35" i="23"/>
  <c r="I35" i="23"/>
  <c r="A36" i="23"/>
  <c r="B36" i="23"/>
  <c r="C36" i="23"/>
  <c r="D36" i="23"/>
  <c r="E36" i="23"/>
  <c r="F36" i="23"/>
  <c r="G36" i="23"/>
  <c r="H36" i="23"/>
  <c r="I36" i="23"/>
  <c r="A37" i="23"/>
  <c r="B37" i="23"/>
  <c r="C37" i="23"/>
  <c r="D37" i="23"/>
  <c r="E37" i="23"/>
  <c r="F37" i="23"/>
  <c r="G37" i="23"/>
  <c r="H37" i="23"/>
  <c r="I37" i="23"/>
  <c r="A38" i="23"/>
  <c r="B38" i="23"/>
  <c r="C38" i="23"/>
  <c r="D38" i="23"/>
  <c r="E38" i="23"/>
  <c r="F38" i="23"/>
  <c r="G38" i="23"/>
  <c r="H38" i="23"/>
  <c r="I38" i="23"/>
  <c r="A39" i="23"/>
  <c r="B39" i="23"/>
  <c r="C39" i="23"/>
  <c r="D39" i="23"/>
  <c r="E39" i="23"/>
  <c r="F39" i="23"/>
  <c r="G39" i="23"/>
  <c r="H39" i="23"/>
  <c r="I39" i="23"/>
  <c r="A40" i="23"/>
  <c r="B40" i="23"/>
  <c r="C40" i="23"/>
  <c r="D40" i="23"/>
  <c r="E40" i="23"/>
  <c r="F40" i="23"/>
  <c r="G40" i="23"/>
  <c r="H40" i="23"/>
  <c r="I40" i="23"/>
  <c r="A41" i="23"/>
  <c r="B41" i="23"/>
  <c r="C41" i="23"/>
  <c r="D41" i="23"/>
  <c r="E41" i="23"/>
  <c r="F41" i="23"/>
  <c r="G41" i="23"/>
  <c r="H41" i="23"/>
  <c r="I41" i="23"/>
  <c r="A42" i="23"/>
  <c r="B42" i="23"/>
  <c r="C42" i="23"/>
  <c r="D42" i="23"/>
  <c r="E42" i="23"/>
  <c r="F42" i="23"/>
  <c r="G42" i="23"/>
  <c r="H42" i="23"/>
  <c r="I42" i="23"/>
  <c r="A43" i="23"/>
  <c r="B43" i="23"/>
  <c r="C43" i="23"/>
  <c r="D43" i="23"/>
  <c r="E43" i="23"/>
  <c r="F43" i="23"/>
  <c r="G43" i="23"/>
  <c r="H43" i="23"/>
  <c r="I43" i="23"/>
  <c r="A44" i="23"/>
  <c r="B44" i="23"/>
  <c r="C44" i="23"/>
  <c r="D44" i="23"/>
  <c r="E44" i="23"/>
  <c r="F44" i="23"/>
  <c r="G44" i="23"/>
  <c r="H44" i="23"/>
  <c r="I44" i="23"/>
  <c r="A45" i="23"/>
  <c r="B45" i="23"/>
  <c r="C45" i="23"/>
  <c r="D45" i="23"/>
  <c r="E45" i="23"/>
  <c r="F45" i="23"/>
  <c r="G45" i="23"/>
  <c r="H45" i="23"/>
  <c r="I45" i="23"/>
  <c r="A46" i="23"/>
  <c r="B46" i="23"/>
  <c r="C46" i="23"/>
  <c r="D46" i="23"/>
  <c r="E46" i="23"/>
  <c r="F46" i="23"/>
  <c r="G46" i="23"/>
  <c r="H46" i="23"/>
  <c r="I46" i="23"/>
  <c r="A47" i="23"/>
  <c r="B47" i="23"/>
  <c r="C47" i="23"/>
  <c r="D47" i="23"/>
  <c r="E47" i="23"/>
  <c r="F47" i="23"/>
  <c r="G47" i="23"/>
  <c r="H47" i="23"/>
  <c r="I47" i="23"/>
  <c r="A48" i="23"/>
  <c r="B48" i="23"/>
  <c r="C48" i="23"/>
  <c r="D48" i="23"/>
  <c r="E48" i="23"/>
  <c r="F48" i="23"/>
  <c r="G48" i="23"/>
  <c r="H48" i="23"/>
  <c r="I48" i="23"/>
  <c r="A49" i="23"/>
  <c r="B49" i="23"/>
  <c r="C49" i="23"/>
  <c r="D49" i="23"/>
  <c r="E49" i="23"/>
  <c r="F49" i="23"/>
  <c r="G49" i="23"/>
  <c r="H49" i="23"/>
  <c r="I49" i="23"/>
  <c r="A50" i="23"/>
  <c r="B50" i="23"/>
  <c r="C50" i="23"/>
  <c r="D50" i="23"/>
  <c r="E50" i="23"/>
  <c r="F50" i="23"/>
  <c r="G50" i="23"/>
  <c r="H50" i="23"/>
  <c r="I50" i="23"/>
  <c r="A51" i="23"/>
  <c r="B51" i="23"/>
  <c r="C51" i="23"/>
  <c r="D51" i="23"/>
  <c r="E51" i="23"/>
  <c r="F51" i="23"/>
  <c r="G51" i="23"/>
  <c r="H51" i="23"/>
  <c r="I51" i="23"/>
  <c r="A52" i="23"/>
  <c r="B52" i="23"/>
  <c r="C52" i="23"/>
  <c r="D52" i="23"/>
  <c r="E52" i="23"/>
  <c r="F52" i="23"/>
  <c r="G52" i="23"/>
  <c r="H52" i="23"/>
  <c r="I52" i="23"/>
  <c r="A2" i="23"/>
  <c r="B2" i="23"/>
  <c r="C2" i="23"/>
  <c r="D2" i="23"/>
  <c r="E2" i="23"/>
  <c r="F2" i="23"/>
  <c r="G2" i="23"/>
  <c r="H2" i="23"/>
  <c r="I2" i="23"/>
  <c r="A3" i="23"/>
  <c r="B3" i="23"/>
  <c r="C3" i="23"/>
  <c r="D3" i="23"/>
  <c r="E3" i="23"/>
  <c r="F3" i="23"/>
  <c r="G3" i="23"/>
  <c r="H3" i="23"/>
  <c r="I3" i="23"/>
  <c r="A4" i="23"/>
  <c r="B4" i="23"/>
  <c r="C4" i="23"/>
  <c r="D4" i="23"/>
  <c r="E4" i="23"/>
  <c r="F4" i="23"/>
  <c r="G4" i="23"/>
  <c r="H4" i="23"/>
  <c r="I4" i="23"/>
  <c r="A5" i="23"/>
  <c r="B5" i="23"/>
  <c r="C5" i="23"/>
  <c r="D5" i="23"/>
  <c r="E5" i="23"/>
  <c r="F5" i="23"/>
  <c r="G5" i="23"/>
  <c r="H5" i="23"/>
  <c r="I5" i="23"/>
  <c r="A6" i="23"/>
  <c r="B6" i="23"/>
  <c r="C6" i="23"/>
  <c r="D6" i="23"/>
  <c r="E6" i="23"/>
  <c r="F6" i="23"/>
  <c r="G6" i="23"/>
  <c r="H6" i="23"/>
  <c r="I6" i="23"/>
  <c r="A7" i="23"/>
  <c r="B7" i="23"/>
  <c r="C7" i="23"/>
  <c r="D7" i="23"/>
  <c r="E7" i="23"/>
  <c r="F7" i="23"/>
  <c r="G7" i="23"/>
  <c r="H7" i="23"/>
  <c r="I7" i="23"/>
  <c r="A8" i="23"/>
  <c r="B8" i="23"/>
  <c r="C8" i="23"/>
  <c r="D8" i="23"/>
  <c r="E8" i="23"/>
  <c r="F8" i="23"/>
  <c r="G8" i="23"/>
  <c r="H8" i="23"/>
  <c r="I8" i="23"/>
  <c r="A9" i="23"/>
  <c r="B9" i="23"/>
  <c r="C9" i="23"/>
  <c r="D9" i="23"/>
  <c r="E9" i="23"/>
  <c r="F9" i="23"/>
  <c r="G9" i="23"/>
  <c r="H9" i="23"/>
  <c r="I9" i="23"/>
  <c r="A10" i="23"/>
  <c r="B10" i="23"/>
  <c r="C10" i="23"/>
  <c r="D10" i="23"/>
  <c r="E10" i="23"/>
  <c r="F10" i="23"/>
  <c r="G10" i="23"/>
  <c r="H10" i="23"/>
  <c r="I10" i="23"/>
  <c r="A11" i="23"/>
  <c r="B11" i="23"/>
  <c r="C11" i="23"/>
  <c r="D11" i="23"/>
  <c r="E11" i="23"/>
  <c r="F11" i="23"/>
  <c r="G11" i="23"/>
  <c r="H11" i="23"/>
  <c r="I11" i="23"/>
  <c r="A12" i="23"/>
  <c r="B12" i="23"/>
  <c r="C12" i="23"/>
  <c r="D12" i="23"/>
  <c r="E12" i="23"/>
  <c r="F12" i="23"/>
  <c r="G12" i="23"/>
  <c r="H12" i="23"/>
  <c r="I12" i="23"/>
  <c r="A13" i="23"/>
  <c r="B13" i="23"/>
  <c r="C13" i="23"/>
  <c r="D13" i="23"/>
  <c r="E13" i="23"/>
  <c r="F13" i="23"/>
  <c r="G13" i="23"/>
  <c r="H13" i="23"/>
  <c r="I13" i="23"/>
  <c r="A14" i="23"/>
  <c r="B14" i="23"/>
  <c r="C14" i="23"/>
  <c r="D14" i="23"/>
  <c r="E14" i="23"/>
  <c r="F14" i="23"/>
  <c r="G14" i="23"/>
  <c r="H14" i="23"/>
  <c r="I14" i="23"/>
  <c r="A15" i="23"/>
  <c r="B15" i="23"/>
  <c r="C15" i="23"/>
  <c r="D15" i="23"/>
  <c r="E15" i="23"/>
  <c r="F15" i="23"/>
  <c r="G15" i="23"/>
  <c r="H15" i="23"/>
  <c r="I15" i="23"/>
  <c r="A16" i="23"/>
  <c r="B16" i="23"/>
  <c r="C16" i="23"/>
  <c r="D16" i="23"/>
  <c r="E16" i="23"/>
  <c r="F16" i="23"/>
  <c r="G16" i="23"/>
  <c r="H16" i="23"/>
  <c r="I16" i="23"/>
  <c r="A17" i="23"/>
  <c r="B17" i="23"/>
  <c r="C17" i="23"/>
  <c r="D17" i="23"/>
  <c r="E17" i="23"/>
  <c r="F17" i="23"/>
  <c r="G17" i="23"/>
  <c r="H17" i="23"/>
  <c r="I17" i="23"/>
  <c r="A18" i="23"/>
  <c r="B18" i="23"/>
  <c r="C18" i="23"/>
  <c r="D18" i="23"/>
  <c r="E18" i="23"/>
  <c r="F18" i="23"/>
  <c r="G18" i="23"/>
  <c r="H18" i="23"/>
  <c r="I18" i="23"/>
  <c r="A19" i="23"/>
  <c r="B19" i="23"/>
  <c r="C19" i="23"/>
  <c r="D19" i="23"/>
  <c r="E19" i="23"/>
  <c r="F19" i="23"/>
  <c r="G19" i="23"/>
  <c r="H19" i="23"/>
  <c r="I19" i="23"/>
  <c r="A20" i="23"/>
  <c r="B20" i="23"/>
  <c r="C20" i="23"/>
  <c r="D20" i="23"/>
  <c r="E20" i="23"/>
  <c r="F20" i="23"/>
  <c r="G20" i="23"/>
  <c r="H20" i="23"/>
  <c r="I20" i="23"/>
  <c r="A21" i="23"/>
  <c r="B21" i="23"/>
  <c r="C21" i="23"/>
  <c r="D21" i="23"/>
  <c r="E21" i="23"/>
  <c r="F21" i="23"/>
  <c r="G21" i="23"/>
  <c r="H21" i="23"/>
  <c r="I21" i="23"/>
  <c r="A22" i="23"/>
  <c r="B22" i="23"/>
  <c r="C22" i="23"/>
  <c r="D22" i="23"/>
  <c r="E22" i="23"/>
  <c r="F22" i="23"/>
  <c r="G22" i="23"/>
  <c r="H22" i="23"/>
  <c r="I22" i="23"/>
  <c r="A23" i="23"/>
  <c r="B23" i="23"/>
  <c r="C23" i="23"/>
  <c r="D23" i="23"/>
  <c r="E23" i="23"/>
  <c r="F23" i="23"/>
  <c r="G23" i="23"/>
  <c r="H23" i="23"/>
  <c r="I23" i="23"/>
  <c r="A24" i="23"/>
  <c r="B24" i="23"/>
  <c r="C24" i="23"/>
  <c r="D24" i="23"/>
  <c r="E24" i="23"/>
  <c r="F24" i="23"/>
  <c r="G24" i="23"/>
  <c r="H24" i="23"/>
  <c r="I24" i="23"/>
  <c r="A25" i="23"/>
  <c r="B25" i="23"/>
  <c r="C25" i="23"/>
  <c r="D25" i="23"/>
  <c r="E25" i="23"/>
  <c r="F25" i="23"/>
  <c r="G25" i="23"/>
  <c r="H25" i="23"/>
  <c r="I25" i="23"/>
  <c r="A26" i="23"/>
  <c r="B26" i="23"/>
  <c r="C26" i="23"/>
  <c r="D26" i="23"/>
  <c r="E26" i="23"/>
  <c r="F26" i="23"/>
  <c r="G26" i="23"/>
  <c r="H26" i="23"/>
  <c r="I26" i="23"/>
  <c r="A27" i="23"/>
  <c r="B27" i="23"/>
  <c r="C27" i="23"/>
  <c r="D27" i="23"/>
  <c r="E27" i="23"/>
  <c r="F27" i="23"/>
  <c r="G27" i="23"/>
  <c r="H27" i="23"/>
  <c r="I27" i="23"/>
  <c r="A28" i="23"/>
  <c r="B28" i="23"/>
  <c r="C28" i="23"/>
  <c r="D28" i="23"/>
  <c r="E28" i="23"/>
  <c r="F28" i="23"/>
  <c r="G28" i="23"/>
  <c r="H28" i="23"/>
  <c r="I28" i="23"/>
  <c r="A29" i="23"/>
  <c r="B29" i="23"/>
  <c r="C29" i="23"/>
  <c r="D29" i="23"/>
  <c r="E29" i="23"/>
  <c r="F29" i="23"/>
  <c r="G29" i="23"/>
  <c r="H29" i="23"/>
  <c r="I29" i="23"/>
  <c r="A30" i="23"/>
  <c r="B30" i="23"/>
  <c r="C30" i="23"/>
  <c r="D30" i="23"/>
  <c r="E30" i="23"/>
  <c r="F30" i="23"/>
  <c r="G30" i="23"/>
  <c r="H30" i="23"/>
  <c r="I30" i="23"/>
  <c r="A31" i="23"/>
  <c r="B31" i="23"/>
  <c r="C31" i="23"/>
  <c r="D31" i="23"/>
  <c r="E31" i="23"/>
  <c r="F31" i="23"/>
  <c r="G31" i="23"/>
  <c r="H31" i="23"/>
  <c r="I31" i="23"/>
  <c r="A32" i="23"/>
  <c r="B32" i="23"/>
  <c r="C32" i="23"/>
  <c r="D32" i="23"/>
  <c r="E32" i="23"/>
  <c r="F32" i="23"/>
  <c r="G32" i="23"/>
  <c r="H32" i="23"/>
  <c r="I32" i="23"/>
  <c r="A33" i="23"/>
  <c r="B33" i="23"/>
  <c r="C33" i="23"/>
  <c r="D33" i="23"/>
  <c r="E33" i="23"/>
  <c r="F33" i="23"/>
  <c r="G33" i="23"/>
  <c r="H33" i="23"/>
  <c r="I33" i="23"/>
  <c r="I1" i="23"/>
  <c r="B1" i="23"/>
  <c r="C1" i="23"/>
  <c r="D1" i="23"/>
  <c r="E1" i="23"/>
  <c r="F1" i="23"/>
  <c r="G1" i="23"/>
  <c r="H1" i="23"/>
  <c r="A1" i="23"/>
  <c r="A52" i="22"/>
  <c r="B52" i="22"/>
  <c r="C52" i="22"/>
  <c r="D52" i="22"/>
  <c r="E52" i="22"/>
  <c r="F52" i="22"/>
  <c r="G52" i="22"/>
  <c r="H52" i="22"/>
  <c r="I52" i="22"/>
  <c r="A53" i="22"/>
  <c r="B53" i="22"/>
  <c r="C53" i="22"/>
  <c r="D53" i="22"/>
  <c r="E53" i="22"/>
  <c r="F53" i="22"/>
  <c r="G53" i="22"/>
  <c r="H53" i="22"/>
  <c r="I53" i="22"/>
  <c r="A54" i="22"/>
  <c r="B54" i="22"/>
  <c r="C54" i="22"/>
  <c r="D54" i="22"/>
  <c r="E54" i="22"/>
  <c r="F54" i="22"/>
  <c r="G54" i="22"/>
  <c r="H54" i="22"/>
  <c r="I54" i="22"/>
  <c r="A55" i="22"/>
  <c r="B55" i="22"/>
  <c r="C55" i="22"/>
  <c r="D55" i="22"/>
  <c r="E55" i="22"/>
  <c r="F55" i="22"/>
  <c r="G55" i="22"/>
  <c r="H55" i="22"/>
  <c r="I55" i="22"/>
  <c r="A56" i="22"/>
  <c r="B56" i="22"/>
  <c r="C56" i="22"/>
  <c r="D56" i="22"/>
  <c r="E56" i="22"/>
  <c r="F56" i="22"/>
  <c r="G56" i="22"/>
  <c r="H56" i="22"/>
  <c r="I56" i="22"/>
  <c r="A57" i="22"/>
  <c r="B57" i="22"/>
  <c r="C57" i="22"/>
  <c r="D57" i="22"/>
  <c r="E57" i="22"/>
  <c r="F57" i="22"/>
  <c r="G57" i="22"/>
  <c r="H57" i="22"/>
  <c r="I57" i="22"/>
  <c r="A58" i="22"/>
  <c r="B58" i="22"/>
  <c r="C58" i="22"/>
  <c r="D58" i="22"/>
  <c r="E58" i="22"/>
  <c r="F58" i="22"/>
  <c r="G58" i="22"/>
  <c r="H58" i="22"/>
  <c r="I58" i="22"/>
  <c r="A59" i="22"/>
  <c r="B59" i="22"/>
  <c r="C59" i="22"/>
  <c r="D59" i="22"/>
  <c r="E59" i="22"/>
  <c r="F59" i="22"/>
  <c r="G59" i="22"/>
  <c r="H59" i="22"/>
  <c r="I59" i="22"/>
  <c r="A60" i="22"/>
  <c r="B60" i="22"/>
  <c r="C60" i="22"/>
  <c r="D60" i="22"/>
  <c r="E60" i="22"/>
  <c r="F60" i="22"/>
  <c r="G60" i="22"/>
  <c r="H60" i="22"/>
  <c r="I60" i="22"/>
  <c r="A61" i="22"/>
  <c r="B61" i="22"/>
  <c r="C61" i="22"/>
  <c r="D61" i="22"/>
  <c r="E61" i="22"/>
  <c r="F61" i="22"/>
  <c r="G61" i="22"/>
  <c r="H61" i="22"/>
  <c r="I61" i="22"/>
  <c r="A62" i="22"/>
  <c r="B62" i="22"/>
  <c r="C62" i="22"/>
  <c r="D62" i="22"/>
  <c r="E62" i="22"/>
  <c r="F62" i="22"/>
  <c r="G62" i="22"/>
  <c r="H62" i="22"/>
  <c r="I62" i="22"/>
  <c r="A63" i="22"/>
  <c r="B63" i="22"/>
  <c r="C63" i="22"/>
  <c r="D63" i="22"/>
  <c r="E63" i="22"/>
  <c r="F63" i="22"/>
  <c r="G63" i="22"/>
  <c r="H63" i="22"/>
  <c r="I63" i="22"/>
  <c r="A64" i="22"/>
  <c r="B64" i="22"/>
  <c r="C64" i="22"/>
  <c r="D64" i="22"/>
  <c r="E64" i="22"/>
  <c r="F64" i="22"/>
  <c r="G64" i="22"/>
  <c r="H64" i="22"/>
  <c r="I64" i="22"/>
  <c r="A40" i="22"/>
  <c r="B40" i="22"/>
  <c r="C40" i="22"/>
  <c r="D40" i="22"/>
  <c r="E40" i="22"/>
  <c r="F40" i="22"/>
  <c r="G40" i="22"/>
  <c r="H40" i="22"/>
  <c r="I40" i="22"/>
  <c r="A41" i="22"/>
  <c r="B41" i="22"/>
  <c r="C41" i="22"/>
  <c r="D41" i="22"/>
  <c r="E41" i="22"/>
  <c r="F41" i="22"/>
  <c r="G41" i="22"/>
  <c r="H41" i="22"/>
  <c r="I41" i="22"/>
  <c r="A42" i="22"/>
  <c r="B42" i="22"/>
  <c r="C42" i="22"/>
  <c r="D42" i="22"/>
  <c r="E42" i="22"/>
  <c r="F42" i="22"/>
  <c r="G42" i="22"/>
  <c r="H42" i="22"/>
  <c r="I42" i="22"/>
  <c r="A43" i="22"/>
  <c r="B43" i="22"/>
  <c r="C43" i="22"/>
  <c r="D43" i="22"/>
  <c r="E43" i="22"/>
  <c r="F43" i="22"/>
  <c r="G43" i="22"/>
  <c r="H43" i="22"/>
  <c r="I43" i="22"/>
  <c r="A44" i="22"/>
  <c r="B44" i="22"/>
  <c r="C44" i="22"/>
  <c r="D44" i="22"/>
  <c r="E44" i="22"/>
  <c r="F44" i="22"/>
  <c r="G44" i="22"/>
  <c r="H44" i="22"/>
  <c r="I44" i="22"/>
  <c r="A45" i="22"/>
  <c r="B45" i="22"/>
  <c r="C45" i="22"/>
  <c r="D45" i="22"/>
  <c r="E45" i="22"/>
  <c r="F45" i="22"/>
  <c r="G45" i="22"/>
  <c r="H45" i="22"/>
  <c r="I45" i="22"/>
  <c r="A46" i="22"/>
  <c r="B46" i="22"/>
  <c r="C46" i="22"/>
  <c r="D46" i="22"/>
  <c r="E46" i="22"/>
  <c r="F46" i="22"/>
  <c r="G46" i="22"/>
  <c r="H46" i="22"/>
  <c r="I46" i="22"/>
  <c r="A47" i="22"/>
  <c r="B47" i="22"/>
  <c r="C47" i="22"/>
  <c r="D47" i="22"/>
  <c r="E47" i="22"/>
  <c r="F47" i="22"/>
  <c r="G47" i="22"/>
  <c r="H47" i="22"/>
  <c r="I47" i="22"/>
  <c r="A48" i="22"/>
  <c r="B48" i="22"/>
  <c r="C48" i="22"/>
  <c r="D48" i="22"/>
  <c r="E48" i="22"/>
  <c r="F48" i="22"/>
  <c r="G48" i="22"/>
  <c r="H48" i="22"/>
  <c r="I48" i="22"/>
  <c r="A49" i="22"/>
  <c r="B49" i="22"/>
  <c r="C49" i="22"/>
  <c r="D49" i="22"/>
  <c r="E49" i="22"/>
  <c r="F49" i="22"/>
  <c r="G49" i="22"/>
  <c r="H49" i="22"/>
  <c r="I49" i="22"/>
  <c r="A50" i="22"/>
  <c r="B50" i="22"/>
  <c r="C50" i="22"/>
  <c r="D50" i="22"/>
  <c r="E50" i="22"/>
  <c r="F50" i="22"/>
  <c r="G50" i="22"/>
  <c r="H50" i="22"/>
  <c r="I50" i="22"/>
  <c r="A51" i="22"/>
  <c r="B51" i="22"/>
  <c r="C51" i="22"/>
  <c r="D51" i="22"/>
  <c r="E51" i="22"/>
  <c r="F51" i="22"/>
  <c r="G51" i="22"/>
  <c r="H51" i="22"/>
  <c r="I51" i="22"/>
  <c r="A2" i="22"/>
  <c r="B2" i="22"/>
  <c r="C2" i="22"/>
  <c r="D2" i="22"/>
  <c r="E2" i="22"/>
  <c r="F2" i="22"/>
  <c r="G2" i="22"/>
  <c r="H2" i="22"/>
  <c r="I2" i="22"/>
  <c r="A3" i="22"/>
  <c r="B3" i="22"/>
  <c r="C3" i="22"/>
  <c r="D3" i="22"/>
  <c r="E3" i="22"/>
  <c r="F3" i="22"/>
  <c r="G3" i="22"/>
  <c r="H3" i="22"/>
  <c r="I3" i="22"/>
  <c r="A4" i="22"/>
  <c r="B4" i="22"/>
  <c r="C4" i="22"/>
  <c r="D4" i="22"/>
  <c r="E4" i="22"/>
  <c r="F4" i="22"/>
  <c r="G4" i="22"/>
  <c r="H4" i="22"/>
  <c r="I4" i="22"/>
  <c r="A5" i="22"/>
  <c r="B5" i="22"/>
  <c r="C5" i="22"/>
  <c r="D5" i="22"/>
  <c r="E5" i="22"/>
  <c r="F5" i="22"/>
  <c r="G5" i="22"/>
  <c r="H5" i="22"/>
  <c r="I5" i="22"/>
  <c r="A6" i="22"/>
  <c r="B6" i="22"/>
  <c r="C6" i="22"/>
  <c r="D6" i="22"/>
  <c r="E6" i="22"/>
  <c r="F6" i="22"/>
  <c r="G6" i="22"/>
  <c r="H6" i="22"/>
  <c r="I6" i="22"/>
  <c r="A7" i="22"/>
  <c r="B7" i="22"/>
  <c r="C7" i="22"/>
  <c r="D7" i="22"/>
  <c r="E7" i="22"/>
  <c r="F7" i="22"/>
  <c r="G7" i="22"/>
  <c r="H7" i="22"/>
  <c r="I7" i="22"/>
  <c r="A8" i="22"/>
  <c r="B8" i="22"/>
  <c r="C8" i="22"/>
  <c r="D8" i="22"/>
  <c r="E8" i="22"/>
  <c r="F8" i="22"/>
  <c r="G8" i="22"/>
  <c r="H8" i="22"/>
  <c r="I8" i="22"/>
  <c r="A9" i="22"/>
  <c r="B9" i="22"/>
  <c r="C9" i="22"/>
  <c r="D9" i="22"/>
  <c r="E9" i="22"/>
  <c r="F9" i="22"/>
  <c r="G9" i="22"/>
  <c r="H9" i="22"/>
  <c r="I9" i="22"/>
  <c r="A10" i="22"/>
  <c r="B10" i="22"/>
  <c r="C10" i="22"/>
  <c r="D10" i="22"/>
  <c r="E10" i="22"/>
  <c r="F10" i="22"/>
  <c r="G10" i="22"/>
  <c r="H10" i="22"/>
  <c r="I10" i="22"/>
  <c r="A11" i="22"/>
  <c r="B11" i="22"/>
  <c r="C11" i="22"/>
  <c r="D11" i="22"/>
  <c r="E11" i="22"/>
  <c r="F11" i="22"/>
  <c r="G11" i="22"/>
  <c r="H11" i="22"/>
  <c r="I11" i="22"/>
  <c r="A12" i="22"/>
  <c r="B12" i="22"/>
  <c r="C12" i="22"/>
  <c r="D12" i="22"/>
  <c r="E12" i="22"/>
  <c r="F12" i="22"/>
  <c r="G12" i="22"/>
  <c r="H12" i="22"/>
  <c r="I12" i="22"/>
  <c r="A13" i="22"/>
  <c r="B13" i="22"/>
  <c r="C13" i="22"/>
  <c r="D13" i="22"/>
  <c r="E13" i="22"/>
  <c r="F13" i="22"/>
  <c r="G13" i="22"/>
  <c r="H13" i="22"/>
  <c r="I13" i="22"/>
  <c r="A14" i="22"/>
  <c r="B14" i="22"/>
  <c r="C14" i="22"/>
  <c r="D14" i="22"/>
  <c r="E14" i="22"/>
  <c r="F14" i="22"/>
  <c r="G14" i="22"/>
  <c r="H14" i="22"/>
  <c r="I14" i="22"/>
  <c r="A15" i="22"/>
  <c r="B15" i="22"/>
  <c r="C15" i="22"/>
  <c r="D15" i="22"/>
  <c r="E15" i="22"/>
  <c r="F15" i="22"/>
  <c r="G15" i="22"/>
  <c r="H15" i="22"/>
  <c r="I15" i="22"/>
  <c r="A16" i="22"/>
  <c r="B16" i="22"/>
  <c r="C16" i="22"/>
  <c r="D16" i="22"/>
  <c r="E16" i="22"/>
  <c r="F16" i="22"/>
  <c r="G16" i="22"/>
  <c r="H16" i="22"/>
  <c r="I16" i="22"/>
  <c r="A17" i="22"/>
  <c r="B17" i="22"/>
  <c r="C17" i="22"/>
  <c r="D17" i="22"/>
  <c r="E17" i="22"/>
  <c r="F17" i="22"/>
  <c r="G17" i="22"/>
  <c r="H17" i="22"/>
  <c r="I17" i="22"/>
  <c r="A18" i="22"/>
  <c r="B18" i="22"/>
  <c r="C18" i="22"/>
  <c r="D18" i="22"/>
  <c r="E18" i="22"/>
  <c r="F18" i="22"/>
  <c r="G18" i="22"/>
  <c r="H18" i="22"/>
  <c r="I18" i="22"/>
  <c r="A19" i="22"/>
  <c r="B19" i="22"/>
  <c r="C19" i="22"/>
  <c r="D19" i="22"/>
  <c r="E19" i="22"/>
  <c r="F19" i="22"/>
  <c r="G19" i="22"/>
  <c r="H19" i="22"/>
  <c r="I19" i="22"/>
  <c r="A20" i="22"/>
  <c r="B20" i="22"/>
  <c r="C20" i="22"/>
  <c r="D20" i="22"/>
  <c r="E20" i="22"/>
  <c r="F20" i="22"/>
  <c r="G20" i="22"/>
  <c r="H20" i="22"/>
  <c r="I20" i="22"/>
  <c r="A21" i="22"/>
  <c r="B21" i="22"/>
  <c r="C21" i="22"/>
  <c r="D21" i="22"/>
  <c r="E21" i="22"/>
  <c r="F21" i="22"/>
  <c r="G21" i="22"/>
  <c r="H21" i="22"/>
  <c r="I21" i="22"/>
  <c r="A22" i="22"/>
  <c r="B22" i="22"/>
  <c r="C22" i="22"/>
  <c r="D22" i="22"/>
  <c r="E22" i="22"/>
  <c r="F22" i="22"/>
  <c r="G22" i="22"/>
  <c r="H22" i="22"/>
  <c r="I22" i="22"/>
  <c r="A23" i="22"/>
  <c r="B23" i="22"/>
  <c r="C23" i="22"/>
  <c r="D23" i="22"/>
  <c r="E23" i="22"/>
  <c r="F23" i="22"/>
  <c r="G23" i="22"/>
  <c r="H23" i="22"/>
  <c r="I23" i="22"/>
  <c r="A24" i="22"/>
  <c r="B24" i="22"/>
  <c r="C24" i="22"/>
  <c r="D24" i="22"/>
  <c r="E24" i="22"/>
  <c r="F24" i="22"/>
  <c r="G24" i="22"/>
  <c r="H24" i="22"/>
  <c r="I24" i="22"/>
  <c r="A25" i="22"/>
  <c r="B25" i="22"/>
  <c r="C25" i="22"/>
  <c r="D25" i="22"/>
  <c r="E25" i="22"/>
  <c r="F25" i="22"/>
  <c r="G25" i="22"/>
  <c r="H25" i="22"/>
  <c r="I25" i="22"/>
  <c r="A26" i="22"/>
  <c r="B26" i="22"/>
  <c r="C26" i="22"/>
  <c r="D26" i="22"/>
  <c r="E26" i="22"/>
  <c r="F26" i="22"/>
  <c r="G26" i="22"/>
  <c r="H26" i="22"/>
  <c r="I26" i="22"/>
  <c r="A27" i="22"/>
  <c r="B27" i="22"/>
  <c r="C27" i="22"/>
  <c r="D27" i="22"/>
  <c r="E27" i="22"/>
  <c r="F27" i="22"/>
  <c r="G27" i="22"/>
  <c r="H27" i="22"/>
  <c r="I27" i="22"/>
  <c r="A28" i="22"/>
  <c r="B28" i="22"/>
  <c r="C28" i="22"/>
  <c r="D28" i="22"/>
  <c r="E28" i="22"/>
  <c r="F28" i="22"/>
  <c r="G28" i="22"/>
  <c r="H28" i="22"/>
  <c r="I28" i="22"/>
  <c r="A29" i="22"/>
  <c r="B29" i="22"/>
  <c r="C29" i="22"/>
  <c r="D29" i="22"/>
  <c r="E29" i="22"/>
  <c r="F29" i="22"/>
  <c r="G29" i="22"/>
  <c r="H29" i="22"/>
  <c r="I29" i="22"/>
  <c r="A30" i="22"/>
  <c r="B30" i="22"/>
  <c r="C30" i="22"/>
  <c r="D30" i="22"/>
  <c r="E30" i="22"/>
  <c r="F30" i="22"/>
  <c r="G30" i="22"/>
  <c r="H30" i="22"/>
  <c r="I30" i="22"/>
  <c r="A31" i="22"/>
  <c r="B31" i="22"/>
  <c r="C31" i="22"/>
  <c r="D31" i="22"/>
  <c r="E31" i="22"/>
  <c r="F31" i="22"/>
  <c r="G31" i="22"/>
  <c r="H31" i="22"/>
  <c r="I31" i="22"/>
  <c r="A32" i="22"/>
  <c r="B32" i="22"/>
  <c r="C32" i="22"/>
  <c r="D32" i="22"/>
  <c r="E32" i="22"/>
  <c r="F32" i="22"/>
  <c r="G32" i="22"/>
  <c r="H32" i="22"/>
  <c r="I32" i="22"/>
  <c r="A33" i="22"/>
  <c r="B33" i="22"/>
  <c r="C33" i="22"/>
  <c r="D33" i="22"/>
  <c r="E33" i="22"/>
  <c r="F33" i="22"/>
  <c r="G33" i="22"/>
  <c r="H33" i="22"/>
  <c r="I33" i="22"/>
  <c r="A34" i="22"/>
  <c r="B34" i="22"/>
  <c r="C34" i="22"/>
  <c r="D34" i="22"/>
  <c r="E34" i="22"/>
  <c r="F34" i="22"/>
  <c r="G34" i="22"/>
  <c r="H34" i="22"/>
  <c r="I34" i="22"/>
  <c r="A35" i="22"/>
  <c r="B35" i="22"/>
  <c r="C35" i="22"/>
  <c r="D35" i="22"/>
  <c r="E35" i="22"/>
  <c r="F35" i="22"/>
  <c r="G35" i="22"/>
  <c r="H35" i="22"/>
  <c r="I35" i="22"/>
  <c r="A36" i="22"/>
  <c r="B36" i="22"/>
  <c r="C36" i="22"/>
  <c r="D36" i="22"/>
  <c r="E36" i="22"/>
  <c r="F36" i="22"/>
  <c r="G36" i="22"/>
  <c r="H36" i="22"/>
  <c r="I36" i="22"/>
  <c r="A37" i="22"/>
  <c r="B37" i="22"/>
  <c r="C37" i="22"/>
  <c r="D37" i="22"/>
  <c r="E37" i="22"/>
  <c r="F37" i="22"/>
  <c r="G37" i="22"/>
  <c r="H37" i="22"/>
  <c r="I37" i="22"/>
  <c r="A38" i="22"/>
  <c r="B38" i="22"/>
  <c r="C38" i="22"/>
  <c r="D38" i="22"/>
  <c r="E38" i="22"/>
  <c r="F38" i="22"/>
  <c r="G38" i="22"/>
  <c r="H38" i="22"/>
  <c r="I38" i="22"/>
  <c r="A39" i="22"/>
  <c r="B39" i="22"/>
  <c r="C39" i="22"/>
  <c r="D39" i="22"/>
  <c r="E39" i="22"/>
  <c r="F39" i="22"/>
  <c r="G39" i="22"/>
  <c r="H39" i="22"/>
  <c r="I39" i="22"/>
  <c r="H1" i="22"/>
  <c r="I1" i="22"/>
  <c r="B1" i="22"/>
  <c r="C1" i="22"/>
  <c r="D1" i="22"/>
  <c r="E1" i="22"/>
  <c r="F1" i="22"/>
  <c r="G1" i="22"/>
  <c r="A1" i="22"/>
  <c r="A63" i="21"/>
  <c r="B63" i="21"/>
  <c r="C63" i="21"/>
  <c r="D63" i="21"/>
  <c r="E63" i="21"/>
  <c r="F63" i="21"/>
  <c r="G63" i="21"/>
  <c r="H63" i="21"/>
  <c r="I63" i="21"/>
  <c r="A64" i="21"/>
  <c r="B64" i="21"/>
  <c r="C64" i="21"/>
  <c r="D64" i="21"/>
  <c r="E64" i="21"/>
  <c r="F64" i="21"/>
  <c r="G64" i="21"/>
  <c r="H64" i="21"/>
  <c r="I64" i="21"/>
  <c r="A50" i="21"/>
  <c r="B50" i="21"/>
  <c r="C50" i="21"/>
  <c r="D50" i="21"/>
  <c r="E50" i="21"/>
  <c r="F50" i="21"/>
  <c r="G50" i="21"/>
  <c r="H50" i="21"/>
  <c r="I50" i="21"/>
  <c r="A51" i="21"/>
  <c r="B51" i="21"/>
  <c r="C51" i="21"/>
  <c r="D51" i="21"/>
  <c r="E51" i="21"/>
  <c r="F51" i="21"/>
  <c r="G51" i="21"/>
  <c r="H51" i="21"/>
  <c r="I51" i="21"/>
  <c r="A52" i="21"/>
  <c r="B52" i="21"/>
  <c r="C52" i="21"/>
  <c r="D52" i="21"/>
  <c r="E52" i="21"/>
  <c r="F52" i="21"/>
  <c r="G52" i="21"/>
  <c r="H52" i="21"/>
  <c r="I52" i="21"/>
  <c r="A53" i="21"/>
  <c r="B53" i="21"/>
  <c r="C53" i="21"/>
  <c r="D53" i="21"/>
  <c r="E53" i="21"/>
  <c r="F53" i="21"/>
  <c r="G53" i="21"/>
  <c r="H53" i="21"/>
  <c r="I53" i="21"/>
  <c r="A54" i="21"/>
  <c r="B54" i="21"/>
  <c r="C54" i="21"/>
  <c r="D54" i="21"/>
  <c r="E54" i="21"/>
  <c r="F54" i="21"/>
  <c r="G54" i="21"/>
  <c r="H54" i="21"/>
  <c r="I54" i="21"/>
  <c r="A55" i="21"/>
  <c r="B55" i="21"/>
  <c r="C55" i="21"/>
  <c r="D55" i="21"/>
  <c r="E55" i="21"/>
  <c r="F55" i="21"/>
  <c r="G55" i="21"/>
  <c r="H55" i="21"/>
  <c r="I55" i="21"/>
  <c r="A56" i="21"/>
  <c r="B56" i="21"/>
  <c r="C56" i="21"/>
  <c r="D56" i="21"/>
  <c r="E56" i="21"/>
  <c r="F56" i="21"/>
  <c r="G56" i="21"/>
  <c r="H56" i="21"/>
  <c r="I56" i="21"/>
  <c r="A57" i="21"/>
  <c r="B57" i="21"/>
  <c r="C57" i="21"/>
  <c r="D57" i="21"/>
  <c r="E57" i="21"/>
  <c r="F57" i="21"/>
  <c r="G57" i="21"/>
  <c r="H57" i="21"/>
  <c r="I57" i="21"/>
  <c r="A58" i="21"/>
  <c r="B58" i="21"/>
  <c r="C58" i="21"/>
  <c r="D58" i="21"/>
  <c r="E58" i="21"/>
  <c r="F58" i="21"/>
  <c r="G58" i="21"/>
  <c r="H58" i="21"/>
  <c r="I58" i="21"/>
  <c r="A59" i="21"/>
  <c r="B59" i="21"/>
  <c r="C59" i="21"/>
  <c r="D59" i="21"/>
  <c r="E59" i="21"/>
  <c r="F59" i="21"/>
  <c r="G59" i="21"/>
  <c r="H59" i="21"/>
  <c r="I59" i="21"/>
  <c r="A60" i="21"/>
  <c r="B60" i="21"/>
  <c r="C60" i="21"/>
  <c r="D60" i="21"/>
  <c r="E60" i="21"/>
  <c r="F60" i="21"/>
  <c r="G60" i="21"/>
  <c r="H60" i="21"/>
  <c r="I60" i="21"/>
  <c r="A61" i="21"/>
  <c r="B61" i="21"/>
  <c r="C61" i="21"/>
  <c r="D61" i="21"/>
  <c r="E61" i="21"/>
  <c r="F61" i="21"/>
  <c r="G61" i="21"/>
  <c r="H61" i="21"/>
  <c r="I61" i="21"/>
  <c r="A62" i="21"/>
  <c r="B62" i="21"/>
  <c r="C62" i="21"/>
  <c r="D62" i="21"/>
  <c r="E62" i="21"/>
  <c r="F62" i="21"/>
  <c r="G62" i="21"/>
  <c r="H62" i="21"/>
  <c r="I62" i="21"/>
  <c r="A38" i="21"/>
  <c r="B38" i="21"/>
  <c r="C38" i="21"/>
  <c r="D38" i="21"/>
  <c r="E38" i="21"/>
  <c r="F38" i="21"/>
  <c r="G38" i="21"/>
  <c r="H38" i="21"/>
  <c r="I38" i="21"/>
  <c r="A39" i="21"/>
  <c r="B39" i="21"/>
  <c r="C39" i="21"/>
  <c r="D39" i="21"/>
  <c r="E39" i="21"/>
  <c r="F39" i="21"/>
  <c r="G39" i="21"/>
  <c r="H39" i="21"/>
  <c r="I39" i="21"/>
  <c r="A40" i="21"/>
  <c r="B40" i="21"/>
  <c r="C40" i="21"/>
  <c r="D40" i="21"/>
  <c r="E40" i="21"/>
  <c r="F40" i="21"/>
  <c r="G40" i="21"/>
  <c r="H40" i="21"/>
  <c r="I40" i="21"/>
  <c r="A41" i="21"/>
  <c r="B41" i="21"/>
  <c r="C41" i="21"/>
  <c r="D41" i="21"/>
  <c r="E41" i="21"/>
  <c r="F41" i="21"/>
  <c r="G41" i="21"/>
  <c r="H41" i="21"/>
  <c r="I41" i="21"/>
  <c r="A42" i="21"/>
  <c r="B42" i="21"/>
  <c r="C42" i="21"/>
  <c r="D42" i="21"/>
  <c r="E42" i="21"/>
  <c r="F42" i="21"/>
  <c r="G42" i="21"/>
  <c r="H42" i="21"/>
  <c r="I42" i="21"/>
  <c r="A43" i="21"/>
  <c r="B43" i="21"/>
  <c r="C43" i="21"/>
  <c r="D43" i="21"/>
  <c r="E43" i="21"/>
  <c r="F43" i="21"/>
  <c r="G43" i="21"/>
  <c r="H43" i="21"/>
  <c r="I43" i="21"/>
  <c r="A44" i="21"/>
  <c r="B44" i="21"/>
  <c r="C44" i="21"/>
  <c r="D44" i="21"/>
  <c r="E44" i="21"/>
  <c r="F44" i="21"/>
  <c r="G44" i="21"/>
  <c r="H44" i="21"/>
  <c r="I44" i="21"/>
  <c r="A45" i="21"/>
  <c r="B45" i="21"/>
  <c r="C45" i="21"/>
  <c r="D45" i="21"/>
  <c r="E45" i="21"/>
  <c r="F45" i="21"/>
  <c r="G45" i="21"/>
  <c r="H45" i="21"/>
  <c r="I45" i="21"/>
  <c r="A46" i="21"/>
  <c r="B46" i="21"/>
  <c r="C46" i="21"/>
  <c r="D46" i="21"/>
  <c r="E46" i="21"/>
  <c r="F46" i="21"/>
  <c r="G46" i="21"/>
  <c r="H46" i="21"/>
  <c r="I46" i="21"/>
  <c r="A47" i="21"/>
  <c r="B47" i="21"/>
  <c r="C47" i="21"/>
  <c r="D47" i="21"/>
  <c r="E47" i="21"/>
  <c r="F47" i="21"/>
  <c r="G47" i="21"/>
  <c r="H47" i="21"/>
  <c r="I47" i="21"/>
  <c r="A48" i="21"/>
  <c r="B48" i="21"/>
  <c r="C48" i="21"/>
  <c r="D48" i="21"/>
  <c r="E48" i="21"/>
  <c r="F48" i="21"/>
  <c r="G48" i="21"/>
  <c r="H48" i="21"/>
  <c r="I48" i="21"/>
  <c r="A49" i="21"/>
  <c r="B49" i="21"/>
  <c r="C49" i="21"/>
  <c r="D49" i="21"/>
  <c r="E49" i="21"/>
  <c r="F49" i="21"/>
  <c r="G49" i="21"/>
  <c r="H49" i="21"/>
  <c r="I49" i="21"/>
  <c r="A2" i="21"/>
  <c r="B2" i="21"/>
  <c r="C2" i="21"/>
  <c r="D2" i="21"/>
  <c r="E2" i="21"/>
  <c r="F2" i="21"/>
  <c r="G2" i="21"/>
  <c r="H2" i="21"/>
  <c r="I2" i="21"/>
  <c r="A3" i="21"/>
  <c r="B3" i="21"/>
  <c r="C3" i="21"/>
  <c r="D3" i="21"/>
  <c r="E3" i="21"/>
  <c r="F3" i="21"/>
  <c r="G3" i="21"/>
  <c r="H3" i="21"/>
  <c r="I3" i="21"/>
  <c r="A4" i="21"/>
  <c r="B4" i="21"/>
  <c r="C4" i="21"/>
  <c r="D4" i="21"/>
  <c r="E4" i="21"/>
  <c r="F4" i="21"/>
  <c r="G4" i="21"/>
  <c r="H4" i="21"/>
  <c r="I4" i="21"/>
  <c r="A5" i="21"/>
  <c r="B5" i="21"/>
  <c r="C5" i="21"/>
  <c r="D5" i="21"/>
  <c r="E5" i="21"/>
  <c r="F5" i="21"/>
  <c r="G5" i="21"/>
  <c r="H5" i="21"/>
  <c r="I5" i="21"/>
  <c r="A6" i="21"/>
  <c r="B6" i="21"/>
  <c r="C6" i="21"/>
  <c r="D6" i="21"/>
  <c r="E6" i="21"/>
  <c r="F6" i="21"/>
  <c r="G6" i="21"/>
  <c r="H6" i="21"/>
  <c r="I6" i="21"/>
  <c r="A7" i="21"/>
  <c r="B7" i="21"/>
  <c r="C7" i="21"/>
  <c r="D7" i="21"/>
  <c r="E7" i="21"/>
  <c r="F7" i="21"/>
  <c r="G7" i="21"/>
  <c r="H7" i="21"/>
  <c r="I7" i="21"/>
  <c r="A8" i="21"/>
  <c r="B8" i="21"/>
  <c r="C8" i="21"/>
  <c r="D8" i="21"/>
  <c r="E8" i="21"/>
  <c r="F8" i="21"/>
  <c r="G8" i="21"/>
  <c r="H8" i="21"/>
  <c r="I8" i="21"/>
  <c r="A9" i="21"/>
  <c r="B9" i="21"/>
  <c r="C9" i="21"/>
  <c r="D9" i="21"/>
  <c r="E9" i="21"/>
  <c r="F9" i="21"/>
  <c r="G9" i="21"/>
  <c r="H9" i="21"/>
  <c r="I9" i="21"/>
  <c r="A10" i="21"/>
  <c r="B10" i="21"/>
  <c r="C10" i="21"/>
  <c r="D10" i="21"/>
  <c r="E10" i="21"/>
  <c r="F10" i="21"/>
  <c r="G10" i="21"/>
  <c r="H10" i="21"/>
  <c r="I10" i="21"/>
  <c r="A11" i="21"/>
  <c r="B11" i="21"/>
  <c r="C11" i="21"/>
  <c r="D11" i="21"/>
  <c r="E11" i="21"/>
  <c r="F11" i="21"/>
  <c r="G11" i="21"/>
  <c r="H11" i="21"/>
  <c r="I11" i="21"/>
  <c r="A12" i="21"/>
  <c r="B12" i="21"/>
  <c r="C12" i="21"/>
  <c r="D12" i="21"/>
  <c r="E12" i="21"/>
  <c r="F12" i="21"/>
  <c r="G12" i="21"/>
  <c r="H12" i="21"/>
  <c r="I12" i="21"/>
  <c r="A13" i="21"/>
  <c r="B13" i="21"/>
  <c r="C13" i="21"/>
  <c r="D13" i="21"/>
  <c r="E13" i="21"/>
  <c r="F13" i="21"/>
  <c r="G13" i="21"/>
  <c r="H13" i="21"/>
  <c r="I13" i="21"/>
  <c r="A14" i="21"/>
  <c r="B14" i="21"/>
  <c r="C14" i="21"/>
  <c r="D14" i="21"/>
  <c r="E14" i="21"/>
  <c r="F14" i="21"/>
  <c r="G14" i="21"/>
  <c r="H14" i="21"/>
  <c r="I14" i="21"/>
  <c r="A15" i="21"/>
  <c r="B15" i="21"/>
  <c r="C15" i="21"/>
  <c r="D15" i="21"/>
  <c r="E15" i="21"/>
  <c r="F15" i="21"/>
  <c r="G15" i="21"/>
  <c r="H15" i="21"/>
  <c r="I15" i="21"/>
  <c r="A16" i="21"/>
  <c r="B16" i="21"/>
  <c r="C16" i="21"/>
  <c r="D16" i="21"/>
  <c r="E16" i="21"/>
  <c r="F16" i="21"/>
  <c r="G16" i="21"/>
  <c r="H16" i="21"/>
  <c r="I16" i="21"/>
  <c r="A17" i="21"/>
  <c r="B17" i="21"/>
  <c r="C17" i="21"/>
  <c r="D17" i="21"/>
  <c r="E17" i="21"/>
  <c r="F17" i="21"/>
  <c r="G17" i="21"/>
  <c r="H17" i="21"/>
  <c r="I17" i="21"/>
  <c r="A18" i="21"/>
  <c r="B18" i="21"/>
  <c r="C18" i="21"/>
  <c r="D18" i="21"/>
  <c r="E18" i="21"/>
  <c r="F18" i="21"/>
  <c r="G18" i="21"/>
  <c r="H18" i="21"/>
  <c r="I18" i="21"/>
  <c r="A19" i="21"/>
  <c r="B19" i="21"/>
  <c r="C19" i="21"/>
  <c r="D19" i="21"/>
  <c r="E19" i="21"/>
  <c r="F19" i="21"/>
  <c r="G19" i="21"/>
  <c r="H19" i="21"/>
  <c r="I19" i="21"/>
  <c r="A20" i="21"/>
  <c r="B20" i="21"/>
  <c r="C20" i="21"/>
  <c r="D20" i="21"/>
  <c r="E20" i="21"/>
  <c r="F20" i="21"/>
  <c r="G20" i="21"/>
  <c r="H20" i="21"/>
  <c r="I20" i="21"/>
  <c r="A21" i="21"/>
  <c r="B21" i="21"/>
  <c r="C21" i="21"/>
  <c r="D21" i="21"/>
  <c r="E21" i="21"/>
  <c r="F21" i="21"/>
  <c r="G21" i="21"/>
  <c r="H21" i="21"/>
  <c r="I21" i="21"/>
  <c r="A22" i="21"/>
  <c r="B22" i="21"/>
  <c r="C22" i="21"/>
  <c r="D22" i="21"/>
  <c r="E22" i="21"/>
  <c r="F22" i="21"/>
  <c r="G22" i="21"/>
  <c r="H22" i="21"/>
  <c r="I22" i="21"/>
  <c r="A23" i="21"/>
  <c r="B23" i="21"/>
  <c r="C23" i="21"/>
  <c r="D23" i="21"/>
  <c r="E23" i="21"/>
  <c r="F23" i="21"/>
  <c r="G23" i="21"/>
  <c r="H23" i="21"/>
  <c r="I23" i="21"/>
  <c r="A24" i="21"/>
  <c r="B24" i="21"/>
  <c r="C24" i="21"/>
  <c r="D24" i="21"/>
  <c r="E24" i="21"/>
  <c r="F24" i="21"/>
  <c r="G24" i="21"/>
  <c r="H24" i="21"/>
  <c r="I24" i="21"/>
  <c r="A25" i="21"/>
  <c r="B25" i="21"/>
  <c r="C25" i="21"/>
  <c r="D25" i="21"/>
  <c r="E25" i="21"/>
  <c r="F25" i="21"/>
  <c r="G25" i="21"/>
  <c r="H25" i="21"/>
  <c r="I25" i="21"/>
  <c r="A26" i="21"/>
  <c r="B26" i="21"/>
  <c r="C26" i="21"/>
  <c r="D26" i="21"/>
  <c r="E26" i="21"/>
  <c r="F26" i="21"/>
  <c r="G26" i="21"/>
  <c r="H26" i="21"/>
  <c r="I26" i="21"/>
  <c r="A27" i="21"/>
  <c r="B27" i="21"/>
  <c r="C27" i="21"/>
  <c r="D27" i="21"/>
  <c r="E27" i="21"/>
  <c r="F27" i="21"/>
  <c r="G27" i="21"/>
  <c r="H27" i="21"/>
  <c r="I27" i="21"/>
  <c r="A28" i="21"/>
  <c r="B28" i="21"/>
  <c r="C28" i="21"/>
  <c r="D28" i="21"/>
  <c r="E28" i="21"/>
  <c r="F28" i="21"/>
  <c r="G28" i="21"/>
  <c r="H28" i="21"/>
  <c r="I28" i="21"/>
  <c r="A29" i="21"/>
  <c r="B29" i="21"/>
  <c r="C29" i="21"/>
  <c r="D29" i="21"/>
  <c r="E29" i="21"/>
  <c r="F29" i="21"/>
  <c r="G29" i="21"/>
  <c r="H29" i="21"/>
  <c r="I29" i="21"/>
  <c r="A30" i="21"/>
  <c r="B30" i="21"/>
  <c r="C30" i="21"/>
  <c r="D30" i="21"/>
  <c r="E30" i="21"/>
  <c r="F30" i="21"/>
  <c r="G30" i="21"/>
  <c r="H30" i="21"/>
  <c r="I30" i="21"/>
  <c r="A31" i="21"/>
  <c r="B31" i="21"/>
  <c r="C31" i="21"/>
  <c r="D31" i="21"/>
  <c r="E31" i="21"/>
  <c r="F31" i="21"/>
  <c r="G31" i="21"/>
  <c r="H31" i="21"/>
  <c r="I31" i="21"/>
  <c r="A32" i="21"/>
  <c r="B32" i="21"/>
  <c r="C32" i="21"/>
  <c r="D32" i="21"/>
  <c r="E32" i="21"/>
  <c r="F32" i="21"/>
  <c r="G32" i="21"/>
  <c r="H32" i="21"/>
  <c r="I32" i="21"/>
  <c r="A33" i="21"/>
  <c r="B33" i="21"/>
  <c r="C33" i="21"/>
  <c r="D33" i="21"/>
  <c r="E33" i="21"/>
  <c r="F33" i="21"/>
  <c r="G33" i="21"/>
  <c r="H33" i="21"/>
  <c r="I33" i="21"/>
  <c r="A34" i="21"/>
  <c r="B34" i="21"/>
  <c r="C34" i="21"/>
  <c r="D34" i="21"/>
  <c r="E34" i="21"/>
  <c r="F34" i="21"/>
  <c r="G34" i="21"/>
  <c r="H34" i="21"/>
  <c r="I34" i="21"/>
  <c r="A35" i="21"/>
  <c r="B35" i="21"/>
  <c r="C35" i="21"/>
  <c r="D35" i="21"/>
  <c r="E35" i="21"/>
  <c r="F35" i="21"/>
  <c r="G35" i="21"/>
  <c r="H35" i="21"/>
  <c r="I35" i="21"/>
  <c r="A36" i="21"/>
  <c r="B36" i="21"/>
  <c r="C36" i="21"/>
  <c r="D36" i="21"/>
  <c r="E36" i="21"/>
  <c r="F36" i="21"/>
  <c r="G36" i="21"/>
  <c r="H36" i="21"/>
  <c r="I36" i="21"/>
  <c r="A37" i="21"/>
  <c r="B37" i="21"/>
  <c r="C37" i="21"/>
  <c r="D37" i="21"/>
  <c r="E37" i="21"/>
  <c r="F37" i="21"/>
  <c r="G37" i="21"/>
  <c r="H37" i="21"/>
  <c r="I37" i="21"/>
  <c r="B1" i="21"/>
  <c r="C1" i="21"/>
  <c r="D1" i="21"/>
  <c r="E1" i="21"/>
  <c r="F1" i="21"/>
  <c r="G1" i="21"/>
  <c r="H1" i="21"/>
  <c r="I1" i="21"/>
  <c r="A1" i="21"/>
  <c r="C45" i="25" l="1"/>
  <c r="C46" i="25" s="1"/>
  <c r="C47" i="25" s="1"/>
  <c r="A2" i="10"/>
  <c r="B2" i="10"/>
  <c r="C2" i="10"/>
  <c r="D2" i="10"/>
  <c r="E2" i="10"/>
  <c r="F2" i="10"/>
  <c r="G2" i="10"/>
  <c r="H2" i="10"/>
  <c r="A3" i="10"/>
  <c r="B3" i="10"/>
  <c r="C3" i="10"/>
  <c r="D3" i="10"/>
  <c r="E3" i="10"/>
  <c r="F3" i="10"/>
  <c r="G3" i="10"/>
  <c r="H3" i="10"/>
  <c r="A4" i="10"/>
  <c r="B4" i="10"/>
  <c r="C4" i="10"/>
  <c r="D4" i="10"/>
  <c r="E4" i="10"/>
  <c r="F4" i="10"/>
  <c r="G4" i="10"/>
  <c r="H4" i="10"/>
  <c r="A5" i="10"/>
  <c r="B5" i="10"/>
  <c r="C5" i="10"/>
  <c r="D5" i="10"/>
  <c r="E5" i="10"/>
  <c r="F5" i="10"/>
  <c r="G5" i="10"/>
  <c r="H5" i="10"/>
  <c r="A6" i="10"/>
  <c r="B6" i="10"/>
  <c r="C6" i="10"/>
  <c r="D6" i="10"/>
  <c r="E6" i="10"/>
  <c r="F6" i="10"/>
  <c r="G6" i="10"/>
  <c r="H6" i="10"/>
  <c r="A7" i="10"/>
  <c r="B7" i="10"/>
  <c r="C7" i="10"/>
  <c r="D7" i="10"/>
  <c r="E7" i="10"/>
  <c r="F7" i="10"/>
  <c r="G7" i="10"/>
  <c r="H7" i="10"/>
  <c r="A8" i="10"/>
  <c r="B8" i="10"/>
  <c r="C8" i="10"/>
  <c r="D8" i="10"/>
  <c r="E8" i="10"/>
  <c r="F8" i="10"/>
  <c r="G8" i="10"/>
  <c r="H8" i="10"/>
  <c r="A9" i="10"/>
  <c r="B9" i="10"/>
  <c r="C9" i="10"/>
  <c r="D9" i="10"/>
  <c r="E9" i="10"/>
  <c r="F9" i="10"/>
  <c r="G9" i="10"/>
  <c r="H9" i="10"/>
  <c r="A10" i="10"/>
  <c r="B10" i="10"/>
  <c r="C10" i="10"/>
  <c r="D10" i="10"/>
  <c r="E10" i="10"/>
  <c r="F10" i="10"/>
  <c r="G10" i="10"/>
  <c r="H10" i="10"/>
  <c r="A11" i="10"/>
  <c r="B11" i="10"/>
  <c r="C11" i="10"/>
  <c r="D11" i="10"/>
  <c r="E11" i="10"/>
  <c r="F11" i="10"/>
  <c r="G11" i="10"/>
  <c r="H11" i="10"/>
  <c r="A12" i="10"/>
  <c r="B12" i="10"/>
  <c r="C12" i="10"/>
  <c r="D12" i="10"/>
  <c r="E12" i="10"/>
  <c r="F12" i="10"/>
  <c r="G12" i="10"/>
  <c r="H12" i="10"/>
  <c r="A13" i="10"/>
  <c r="B13" i="10"/>
  <c r="C13" i="10"/>
  <c r="D13" i="10"/>
  <c r="E13" i="10"/>
  <c r="F13" i="10"/>
  <c r="G13" i="10"/>
  <c r="H13" i="10"/>
  <c r="A14" i="10"/>
  <c r="B14" i="10"/>
  <c r="C14" i="10"/>
  <c r="D14" i="10"/>
  <c r="E14" i="10"/>
  <c r="F14" i="10"/>
  <c r="G14" i="10"/>
  <c r="H14" i="10"/>
  <c r="A15" i="10"/>
  <c r="B15" i="10"/>
  <c r="C15" i="10"/>
  <c r="D15" i="10"/>
  <c r="E15" i="10"/>
  <c r="F15" i="10"/>
  <c r="G15" i="10"/>
  <c r="H15" i="10"/>
  <c r="A16" i="10"/>
  <c r="B16" i="10"/>
  <c r="C16" i="10"/>
  <c r="D16" i="10"/>
  <c r="E16" i="10"/>
  <c r="F16" i="10"/>
  <c r="G16" i="10"/>
  <c r="H16" i="10"/>
  <c r="A17" i="10"/>
  <c r="B17" i="10"/>
  <c r="C17" i="10"/>
  <c r="D17" i="10"/>
  <c r="E17" i="10"/>
  <c r="F17" i="10"/>
  <c r="G17" i="10"/>
  <c r="H17" i="10"/>
  <c r="A18" i="10"/>
  <c r="B18" i="10"/>
  <c r="C18" i="10"/>
  <c r="D18" i="10"/>
  <c r="E18" i="10"/>
  <c r="F18" i="10"/>
  <c r="G18" i="10"/>
  <c r="H18" i="10"/>
  <c r="A19" i="10"/>
  <c r="B19" i="10"/>
  <c r="C19" i="10"/>
  <c r="D19" i="10"/>
  <c r="E19" i="10"/>
  <c r="F19" i="10"/>
  <c r="G19" i="10"/>
  <c r="H19" i="10"/>
  <c r="A20" i="10"/>
  <c r="B20" i="10"/>
  <c r="C20" i="10"/>
  <c r="D20" i="10"/>
  <c r="E20" i="10"/>
  <c r="F20" i="10"/>
  <c r="G20" i="10"/>
  <c r="H20" i="10"/>
  <c r="A21" i="10"/>
  <c r="B21" i="10"/>
  <c r="C21" i="10"/>
  <c r="D21" i="10"/>
  <c r="E21" i="10"/>
  <c r="F21" i="10"/>
  <c r="G21" i="10"/>
  <c r="H21" i="10"/>
  <c r="A22" i="10"/>
  <c r="B22" i="10"/>
  <c r="C22" i="10"/>
  <c r="D22" i="10"/>
  <c r="E22" i="10"/>
  <c r="F22" i="10"/>
  <c r="G22" i="10"/>
  <c r="H22" i="10"/>
  <c r="A23" i="10"/>
  <c r="B23" i="10"/>
  <c r="C23" i="10"/>
  <c r="D23" i="10"/>
  <c r="E23" i="10"/>
  <c r="F23" i="10"/>
  <c r="G23" i="10"/>
  <c r="H23" i="10"/>
  <c r="A24" i="10"/>
  <c r="B24" i="10"/>
  <c r="C24" i="10"/>
  <c r="D24" i="10"/>
  <c r="E24" i="10"/>
  <c r="F24" i="10"/>
  <c r="G24" i="10"/>
  <c r="H24" i="10"/>
  <c r="A25" i="10"/>
  <c r="B25" i="10"/>
  <c r="C25" i="10"/>
  <c r="D25" i="10"/>
  <c r="E25" i="10"/>
  <c r="F25" i="10"/>
  <c r="G25" i="10"/>
  <c r="H25" i="10"/>
  <c r="A26" i="10"/>
  <c r="B26" i="10"/>
  <c r="C26" i="10"/>
  <c r="D26" i="10"/>
  <c r="E26" i="10"/>
  <c r="F26" i="10"/>
  <c r="G26" i="10"/>
  <c r="H26" i="10"/>
  <c r="A27" i="10"/>
  <c r="B27" i="10"/>
  <c r="C27" i="10"/>
  <c r="D27" i="10"/>
  <c r="E27" i="10"/>
  <c r="F27" i="10"/>
  <c r="G27" i="10"/>
  <c r="H27" i="10"/>
  <c r="A28" i="10"/>
  <c r="B28" i="10"/>
  <c r="C28" i="10"/>
  <c r="D28" i="10"/>
  <c r="E28" i="10"/>
  <c r="F28" i="10"/>
  <c r="G28" i="10"/>
  <c r="H28" i="10"/>
  <c r="A29" i="10"/>
  <c r="B29" i="10"/>
  <c r="C29" i="10"/>
  <c r="D29" i="10"/>
  <c r="E29" i="10"/>
  <c r="F29" i="10"/>
  <c r="G29" i="10"/>
  <c r="H29" i="10"/>
  <c r="A30" i="10"/>
  <c r="B30" i="10"/>
  <c r="C30" i="10"/>
  <c r="D30" i="10"/>
  <c r="E30" i="10"/>
  <c r="F30" i="10"/>
  <c r="G30" i="10"/>
  <c r="H30" i="10"/>
  <c r="A31" i="10"/>
  <c r="B31" i="10"/>
  <c r="C31" i="10"/>
  <c r="D31" i="10"/>
  <c r="E31" i="10"/>
  <c r="F31" i="10"/>
  <c r="G31" i="10"/>
  <c r="H31" i="10"/>
  <c r="A32" i="10"/>
  <c r="B32" i="10"/>
  <c r="C32" i="10"/>
  <c r="D32" i="10"/>
  <c r="E32" i="10"/>
  <c r="F32" i="10"/>
  <c r="G32" i="10"/>
  <c r="H32" i="10"/>
  <c r="A33" i="10"/>
  <c r="B33" i="10"/>
  <c r="C33" i="10"/>
  <c r="D33" i="10"/>
  <c r="E33" i="10"/>
  <c r="F33" i="10"/>
  <c r="G33" i="10"/>
  <c r="H33" i="10"/>
  <c r="A34" i="10"/>
  <c r="B34" i="10"/>
  <c r="C34" i="10"/>
  <c r="D34" i="10"/>
  <c r="E34" i="10"/>
  <c r="F34" i="10"/>
  <c r="G34" i="10"/>
  <c r="H34" i="10"/>
  <c r="A35" i="10"/>
  <c r="B35" i="10"/>
  <c r="C35" i="10"/>
  <c r="D35" i="10"/>
  <c r="E35" i="10"/>
  <c r="F35" i="10"/>
  <c r="G35" i="10"/>
  <c r="H35" i="10"/>
  <c r="A36" i="10"/>
  <c r="B36" i="10"/>
  <c r="C36" i="10"/>
  <c r="D36" i="10"/>
  <c r="E36" i="10"/>
  <c r="F36" i="10"/>
  <c r="G36" i="10"/>
  <c r="H36" i="10"/>
  <c r="A37" i="10"/>
  <c r="B37" i="10"/>
  <c r="C37" i="10"/>
  <c r="D37" i="10"/>
  <c r="E37" i="10"/>
  <c r="F37" i="10"/>
  <c r="G37" i="10"/>
  <c r="H37" i="10"/>
  <c r="A38" i="10"/>
  <c r="B38" i="10"/>
  <c r="C38" i="10"/>
  <c r="D38" i="10"/>
  <c r="E38" i="10"/>
  <c r="F38" i="10"/>
  <c r="G38" i="10"/>
  <c r="H38" i="10"/>
  <c r="A39" i="10"/>
  <c r="B39" i="10"/>
  <c r="C39" i="10"/>
  <c r="D39" i="10"/>
  <c r="E39" i="10"/>
  <c r="F39" i="10"/>
  <c r="G39" i="10"/>
  <c r="H39" i="10"/>
  <c r="A40" i="10"/>
  <c r="B40" i="10"/>
  <c r="C40" i="10"/>
  <c r="D40" i="10"/>
  <c r="E40" i="10"/>
  <c r="F40" i="10"/>
  <c r="G40" i="10"/>
  <c r="H40" i="10"/>
  <c r="A41" i="10"/>
  <c r="B41" i="10"/>
  <c r="C41" i="10"/>
  <c r="D41" i="10"/>
  <c r="E41" i="10"/>
  <c r="F41" i="10"/>
  <c r="G41" i="10"/>
  <c r="H41" i="10"/>
  <c r="A42" i="10"/>
  <c r="B42" i="10"/>
  <c r="C42" i="10"/>
  <c r="D42" i="10"/>
  <c r="E42" i="10"/>
  <c r="F42" i="10"/>
  <c r="G42" i="10"/>
  <c r="H42" i="10"/>
  <c r="A43" i="10"/>
  <c r="B43" i="10"/>
  <c r="C43" i="10"/>
  <c r="D43" i="10"/>
  <c r="E43" i="10"/>
  <c r="F43" i="10"/>
  <c r="G43" i="10"/>
  <c r="H43" i="10"/>
  <c r="A44" i="10"/>
  <c r="B44" i="10"/>
  <c r="C44" i="10"/>
  <c r="D44" i="10"/>
  <c r="E44" i="10"/>
  <c r="F44" i="10"/>
  <c r="G44" i="10"/>
  <c r="H44" i="10"/>
  <c r="A45" i="10"/>
  <c r="B45" i="10"/>
  <c r="C45" i="10"/>
  <c r="D45" i="10"/>
  <c r="E45" i="10"/>
  <c r="F45" i="10"/>
  <c r="G45" i="10"/>
  <c r="H45" i="10"/>
  <c r="A46" i="10"/>
  <c r="B46" i="10"/>
  <c r="C46" i="10"/>
  <c r="D46" i="10"/>
  <c r="E46" i="10"/>
  <c r="F46" i="10"/>
  <c r="G46" i="10"/>
  <c r="H46" i="10"/>
  <c r="A47" i="10"/>
  <c r="B47" i="10"/>
  <c r="C47" i="10"/>
  <c r="D47" i="10"/>
  <c r="E47" i="10"/>
  <c r="F47" i="10"/>
  <c r="G47" i="10"/>
  <c r="H47" i="10"/>
  <c r="A48" i="10"/>
  <c r="B48" i="10"/>
  <c r="C48" i="10"/>
  <c r="D48" i="10"/>
  <c r="E48" i="10"/>
  <c r="F48" i="10"/>
  <c r="G48" i="10"/>
  <c r="H48" i="10"/>
  <c r="A49" i="10"/>
  <c r="B49" i="10"/>
  <c r="C49" i="10"/>
  <c r="D49" i="10"/>
  <c r="E49" i="10"/>
  <c r="F49" i="10"/>
  <c r="G49" i="10"/>
  <c r="H49" i="10"/>
  <c r="A50" i="10"/>
  <c r="B50" i="10"/>
  <c r="C50" i="10"/>
  <c r="D50" i="10"/>
  <c r="E50" i="10"/>
  <c r="F50" i="10"/>
  <c r="G50" i="10"/>
  <c r="H50" i="10"/>
  <c r="A51" i="10"/>
  <c r="B51" i="10"/>
  <c r="C51" i="10"/>
  <c r="D51" i="10"/>
  <c r="E51" i="10"/>
  <c r="F51" i="10"/>
  <c r="G51" i="10"/>
  <c r="H51" i="10"/>
  <c r="A52" i="10"/>
  <c r="B52" i="10"/>
  <c r="C52" i="10"/>
  <c r="D52" i="10"/>
  <c r="E52" i="10"/>
  <c r="F52" i="10"/>
  <c r="G52" i="10"/>
  <c r="H52" i="10"/>
  <c r="A53" i="10"/>
  <c r="B53" i="10"/>
  <c r="C53" i="10"/>
  <c r="D53" i="10"/>
  <c r="E53" i="10"/>
  <c r="F53" i="10"/>
  <c r="G53" i="10"/>
  <c r="H53" i="10"/>
  <c r="A54" i="10"/>
  <c r="B54" i="10"/>
  <c r="C54" i="10"/>
  <c r="D54" i="10"/>
  <c r="E54" i="10"/>
  <c r="F54" i="10"/>
  <c r="G54" i="10"/>
  <c r="H54" i="10"/>
  <c r="A55" i="10"/>
  <c r="B55" i="10"/>
  <c r="C55" i="10"/>
  <c r="D55" i="10"/>
  <c r="E55" i="10"/>
  <c r="F55" i="10"/>
  <c r="G55" i="10"/>
  <c r="H55" i="10"/>
  <c r="A56" i="10"/>
  <c r="B56" i="10"/>
  <c r="C56" i="10"/>
  <c r="D56" i="10"/>
  <c r="E56" i="10"/>
  <c r="F56" i="10"/>
  <c r="G56" i="10"/>
  <c r="H56" i="10"/>
  <c r="A57" i="10"/>
  <c r="B57" i="10"/>
  <c r="C57" i="10"/>
  <c r="D57" i="10"/>
  <c r="E57" i="10"/>
  <c r="F57" i="10"/>
  <c r="G57" i="10"/>
  <c r="H57" i="10"/>
  <c r="A58" i="10"/>
  <c r="B58" i="10"/>
  <c r="C58" i="10"/>
  <c r="D58" i="10"/>
  <c r="E58" i="10"/>
  <c r="F58" i="10"/>
  <c r="G58" i="10"/>
  <c r="H58" i="10"/>
  <c r="A59" i="10"/>
  <c r="B59" i="10"/>
  <c r="C59" i="10"/>
  <c r="D59" i="10"/>
  <c r="E59" i="10"/>
  <c r="F59" i="10"/>
  <c r="G59" i="10"/>
  <c r="H59" i="10"/>
  <c r="A60" i="10"/>
  <c r="B60" i="10"/>
  <c r="C60" i="10"/>
  <c r="D60" i="10"/>
  <c r="E60" i="10"/>
  <c r="F60" i="10"/>
  <c r="G60" i="10"/>
  <c r="H60" i="10"/>
  <c r="A61" i="10"/>
  <c r="B61" i="10"/>
  <c r="C61" i="10"/>
  <c r="D61" i="10"/>
  <c r="E61" i="10"/>
  <c r="F61" i="10"/>
  <c r="G61" i="10"/>
  <c r="H61" i="10"/>
  <c r="A62" i="10"/>
  <c r="B62" i="10"/>
  <c r="C62" i="10"/>
  <c r="D62" i="10"/>
  <c r="E62" i="10"/>
  <c r="F62" i="10"/>
  <c r="G62" i="10"/>
  <c r="H62" i="10"/>
  <c r="A63" i="10"/>
  <c r="B63" i="10"/>
  <c r="C63" i="10"/>
  <c r="D63" i="10"/>
  <c r="E63" i="10"/>
  <c r="F63" i="10"/>
  <c r="G63" i="10"/>
  <c r="H63" i="10"/>
  <c r="A64" i="10"/>
  <c r="B64" i="10"/>
  <c r="C64" i="10"/>
  <c r="D64" i="10"/>
  <c r="E64" i="10"/>
  <c r="F64" i="10"/>
  <c r="G64" i="10"/>
  <c r="H64" i="10"/>
  <c r="A65" i="10"/>
  <c r="B65" i="10"/>
  <c r="C65" i="10"/>
  <c r="D65" i="10"/>
  <c r="E65" i="10"/>
  <c r="F65" i="10"/>
  <c r="G65" i="10"/>
  <c r="H65" i="10"/>
  <c r="B1" i="10"/>
  <c r="C1" i="10"/>
  <c r="D1" i="10"/>
  <c r="E1" i="10"/>
  <c r="F1" i="10"/>
  <c r="G1" i="10"/>
  <c r="H1" i="10"/>
  <c r="A2" i="9"/>
  <c r="B2" i="9"/>
  <c r="C2" i="9"/>
  <c r="D2" i="9"/>
  <c r="E2" i="9"/>
  <c r="F2" i="9"/>
  <c r="G2" i="9"/>
  <c r="H2" i="9"/>
  <c r="A3" i="9"/>
  <c r="B3" i="9"/>
  <c r="C3" i="9"/>
  <c r="D3" i="9"/>
  <c r="E3" i="9"/>
  <c r="F3" i="9"/>
  <c r="G3" i="9"/>
  <c r="H3" i="9"/>
  <c r="A4" i="9"/>
  <c r="B4" i="9"/>
  <c r="C4" i="9"/>
  <c r="D4" i="9"/>
  <c r="E4" i="9"/>
  <c r="F4" i="9"/>
  <c r="G4" i="9"/>
  <c r="H4" i="9"/>
  <c r="A5" i="9"/>
  <c r="B5" i="9"/>
  <c r="C5" i="9"/>
  <c r="D5" i="9"/>
  <c r="E5" i="9"/>
  <c r="F5" i="9"/>
  <c r="G5" i="9"/>
  <c r="H5" i="9"/>
  <c r="A6" i="9"/>
  <c r="B6" i="9"/>
  <c r="C6" i="9"/>
  <c r="D6" i="9"/>
  <c r="E6" i="9"/>
  <c r="F6" i="9"/>
  <c r="G6" i="9"/>
  <c r="H6" i="9"/>
  <c r="A7" i="9"/>
  <c r="B7" i="9"/>
  <c r="C7" i="9"/>
  <c r="D7" i="9"/>
  <c r="E7" i="9"/>
  <c r="F7" i="9"/>
  <c r="G7" i="9"/>
  <c r="H7" i="9"/>
  <c r="A8" i="9"/>
  <c r="B8" i="9"/>
  <c r="C8" i="9"/>
  <c r="D8" i="9"/>
  <c r="E8" i="9"/>
  <c r="F8" i="9"/>
  <c r="G8" i="9"/>
  <c r="H8" i="9"/>
  <c r="A9" i="9"/>
  <c r="B9" i="9"/>
  <c r="C9" i="9"/>
  <c r="D9" i="9"/>
  <c r="E9" i="9"/>
  <c r="F9" i="9"/>
  <c r="G9" i="9"/>
  <c r="H9" i="9"/>
  <c r="A10" i="9"/>
  <c r="B10" i="9"/>
  <c r="C10" i="9"/>
  <c r="D10" i="9"/>
  <c r="E10" i="9"/>
  <c r="F10" i="9"/>
  <c r="G10" i="9"/>
  <c r="H10" i="9"/>
  <c r="A11" i="9"/>
  <c r="B11" i="9"/>
  <c r="C11" i="9"/>
  <c r="D11" i="9"/>
  <c r="E11" i="9"/>
  <c r="F11" i="9"/>
  <c r="G11" i="9"/>
  <c r="H11" i="9"/>
  <c r="A12" i="9"/>
  <c r="B12" i="9"/>
  <c r="C12" i="9"/>
  <c r="D12" i="9"/>
  <c r="E12" i="9"/>
  <c r="F12" i="9"/>
  <c r="G12" i="9"/>
  <c r="H12" i="9"/>
  <c r="A13" i="9"/>
  <c r="B13" i="9"/>
  <c r="C13" i="9"/>
  <c r="D13" i="9"/>
  <c r="E13" i="9"/>
  <c r="F13" i="9"/>
  <c r="G13" i="9"/>
  <c r="H13" i="9"/>
  <c r="A14" i="9"/>
  <c r="B14" i="9"/>
  <c r="C14" i="9"/>
  <c r="D14" i="9"/>
  <c r="E14" i="9"/>
  <c r="F14" i="9"/>
  <c r="G14" i="9"/>
  <c r="H14" i="9"/>
  <c r="A15" i="9"/>
  <c r="B15" i="9"/>
  <c r="C15" i="9"/>
  <c r="D15" i="9"/>
  <c r="E15" i="9"/>
  <c r="F15" i="9"/>
  <c r="G15" i="9"/>
  <c r="H15" i="9"/>
  <c r="A16" i="9"/>
  <c r="B16" i="9"/>
  <c r="C16" i="9"/>
  <c r="D16" i="9"/>
  <c r="E16" i="9"/>
  <c r="F16" i="9"/>
  <c r="G16" i="9"/>
  <c r="H16" i="9"/>
  <c r="A17" i="9"/>
  <c r="B17" i="9"/>
  <c r="C17" i="9"/>
  <c r="D17" i="9"/>
  <c r="E17" i="9"/>
  <c r="F17" i="9"/>
  <c r="G17" i="9"/>
  <c r="H17" i="9"/>
  <c r="A18" i="9"/>
  <c r="B18" i="9"/>
  <c r="C18" i="9"/>
  <c r="D18" i="9"/>
  <c r="E18" i="9"/>
  <c r="F18" i="9"/>
  <c r="G18" i="9"/>
  <c r="H18" i="9"/>
  <c r="A19" i="9"/>
  <c r="B19" i="9"/>
  <c r="C19" i="9"/>
  <c r="D19" i="9"/>
  <c r="E19" i="9"/>
  <c r="F19" i="9"/>
  <c r="G19" i="9"/>
  <c r="H19" i="9"/>
  <c r="A20" i="9"/>
  <c r="B20" i="9"/>
  <c r="C20" i="9"/>
  <c r="D20" i="9"/>
  <c r="E20" i="9"/>
  <c r="F20" i="9"/>
  <c r="G20" i="9"/>
  <c r="H20" i="9"/>
  <c r="A21" i="9"/>
  <c r="B21" i="9"/>
  <c r="C21" i="9"/>
  <c r="D21" i="9"/>
  <c r="E21" i="9"/>
  <c r="F21" i="9"/>
  <c r="G21" i="9"/>
  <c r="H21" i="9"/>
  <c r="A22" i="9"/>
  <c r="B22" i="9"/>
  <c r="C22" i="9"/>
  <c r="D22" i="9"/>
  <c r="E22" i="9"/>
  <c r="F22" i="9"/>
  <c r="G22" i="9"/>
  <c r="H22" i="9"/>
  <c r="A23" i="9"/>
  <c r="B23" i="9"/>
  <c r="C23" i="9"/>
  <c r="D23" i="9"/>
  <c r="E23" i="9"/>
  <c r="F23" i="9"/>
  <c r="G23" i="9"/>
  <c r="H23" i="9"/>
  <c r="A24" i="9"/>
  <c r="B24" i="9"/>
  <c r="C24" i="9"/>
  <c r="D24" i="9"/>
  <c r="E24" i="9"/>
  <c r="F24" i="9"/>
  <c r="G24" i="9"/>
  <c r="H24" i="9"/>
  <c r="A25" i="9"/>
  <c r="B25" i="9"/>
  <c r="C25" i="9"/>
  <c r="D25" i="9"/>
  <c r="E25" i="9"/>
  <c r="F25" i="9"/>
  <c r="G25" i="9"/>
  <c r="H25" i="9"/>
  <c r="A26" i="9"/>
  <c r="B26" i="9"/>
  <c r="C26" i="9"/>
  <c r="D26" i="9"/>
  <c r="E26" i="9"/>
  <c r="F26" i="9"/>
  <c r="G26" i="9"/>
  <c r="H26" i="9"/>
  <c r="A27" i="9"/>
  <c r="B27" i="9"/>
  <c r="C27" i="9"/>
  <c r="D27" i="9"/>
  <c r="E27" i="9"/>
  <c r="F27" i="9"/>
  <c r="G27" i="9"/>
  <c r="H27" i="9"/>
  <c r="A28" i="9"/>
  <c r="B28" i="9"/>
  <c r="C28" i="9"/>
  <c r="D28" i="9"/>
  <c r="E28" i="9"/>
  <c r="F28" i="9"/>
  <c r="G28" i="9"/>
  <c r="H28" i="9"/>
  <c r="A29" i="9"/>
  <c r="B29" i="9"/>
  <c r="C29" i="9"/>
  <c r="D29" i="9"/>
  <c r="E29" i="9"/>
  <c r="F29" i="9"/>
  <c r="G29" i="9"/>
  <c r="H29" i="9"/>
  <c r="A30" i="9"/>
  <c r="B30" i="9"/>
  <c r="C30" i="9"/>
  <c r="D30" i="9"/>
  <c r="E30" i="9"/>
  <c r="F30" i="9"/>
  <c r="G30" i="9"/>
  <c r="H30" i="9"/>
  <c r="A31" i="9"/>
  <c r="B31" i="9"/>
  <c r="C31" i="9"/>
  <c r="D31" i="9"/>
  <c r="E31" i="9"/>
  <c r="F31" i="9"/>
  <c r="G31" i="9"/>
  <c r="H31" i="9"/>
  <c r="A32" i="9"/>
  <c r="B32" i="9"/>
  <c r="C32" i="9"/>
  <c r="D32" i="9"/>
  <c r="E32" i="9"/>
  <c r="F32" i="9"/>
  <c r="G32" i="9"/>
  <c r="H32" i="9"/>
  <c r="A33" i="9"/>
  <c r="B33" i="9"/>
  <c r="C33" i="9"/>
  <c r="D33" i="9"/>
  <c r="E33" i="9"/>
  <c r="F33" i="9"/>
  <c r="G33" i="9"/>
  <c r="H33" i="9"/>
  <c r="A34" i="9"/>
  <c r="B34" i="9"/>
  <c r="C34" i="9"/>
  <c r="D34" i="9"/>
  <c r="E34" i="9"/>
  <c r="F34" i="9"/>
  <c r="G34" i="9"/>
  <c r="H34" i="9"/>
  <c r="A35" i="9"/>
  <c r="B35" i="9"/>
  <c r="C35" i="9"/>
  <c r="D35" i="9"/>
  <c r="E35" i="9"/>
  <c r="F35" i="9"/>
  <c r="G35" i="9"/>
  <c r="H35" i="9"/>
  <c r="A36" i="9"/>
  <c r="B36" i="9"/>
  <c r="C36" i="9"/>
  <c r="D36" i="9"/>
  <c r="E36" i="9"/>
  <c r="F36" i="9"/>
  <c r="G36" i="9"/>
  <c r="H36" i="9"/>
  <c r="A37" i="9"/>
  <c r="B37" i="9"/>
  <c r="C37" i="9"/>
  <c r="D37" i="9"/>
  <c r="E37" i="9"/>
  <c r="F37" i="9"/>
  <c r="G37" i="9"/>
  <c r="H37" i="9"/>
  <c r="A38" i="9"/>
  <c r="B38" i="9"/>
  <c r="C38" i="9"/>
  <c r="D38" i="9"/>
  <c r="E38" i="9"/>
  <c r="F38" i="9"/>
  <c r="G38" i="9"/>
  <c r="H38" i="9"/>
  <c r="A39" i="9"/>
  <c r="B39" i="9"/>
  <c r="C39" i="9"/>
  <c r="D39" i="9"/>
  <c r="E39" i="9"/>
  <c r="F39" i="9"/>
  <c r="G39" i="9"/>
  <c r="H39" i="9"/>
  <c r="A40" i="9"/>
  <c r="B40" i="9"/>
  <c r="C40" i="9"/>
  <c r="D40" i="9"/>
  <c r="E40" i="9"/>
  <c r="F40" i="9"/>
  <c r="G40" i="9"/>
  <c r="H40" i="9"/>
  <c r="A41" i="9"/>
  <c r="B41" i="9"/>
  <c r="C41" i="9"/>
  <c r="D41" i="9"/>
  <c r="E41" i="9"/>
  <c r="F41" i="9"/>
  <c r="G41" i="9"/>
  <c r="H41" i="9"/>
  <c r="A42" i="9"/>
  <c r="B42" i="9"/>
  <c r="C42" i="9"/>
  <c r="D42" i="9"/>
  <c r="E42" i="9"/>
  <c r="F42" i="9"/>
  <c r="G42" i="9"/>
  <c r="H42" i="9"/>
  <c r="A43" i="9"/>
  <c r="B43" i="9"/>
  <c r="C43" i="9"/>
  <c r="D43" i="9"/>
  <c r="E43" i="9"/>
  <c r="F43" i="9"/>
  <c r="G43" i="9"/>
  <c r="H43" i="9"/>
  <c r="A44" i="9"/>
  <c r="B44" i="9"/>
  <c r="C44" i="9"/>
  <c r="D44" i="9"/>
  <c r="E44" i="9"/>
  <c r="F44" i="9"/>
  <c r="G44" i="9"/>
  <c r="H44" i="9"/>
  <c r="A45" i="9"/>
  <c r="B45" i="9"/>
  <c r="C45" i="9"/>
  <c r="D45" i="9"/>
  <c r="E45" i="9"/>
  <c r="F45" i="9"/>
  <c r="G45" i="9"/>
  <c r="H45" i="9"/>
  <c r="A46" i="9"/>
  <c r="B46" i="9"/>
  <c r="C46" i="9"/>
  <c r="D46" i="9"/>
  <c r="E46" i="9"/>
  <c r="F46" i="9"/>
  <c r="G46" i="9"/>
  <c r="H46" i="9"/>
  <c r="A47" i="9"/>
  <c r="B47" i="9"/>
  <c r="C47" i="9"/>
  <c r="D47" i="9"/>
  <c r="E47" i="9"/>
  <c r="F47" i="9"/>
  <c r="G47" i="9"/>
  <c r="H47" i="9"/>
  <c r="A48" i="9"/>
  <c r="B48" i="9"/>
  <c r="C48" i="9"/>
  <c r="D48" i="9"/>
  <c r="E48" i="9"/>
  <c r="F48" i="9"/>
  <c r="G48" i="9"/>
  <c r="H48" i="9"/>
  <c r="A49" i="9"/>
  <c r="B49" i="9"/>
  <c r="C49" i="9"/>
  <c r="D49" i="9"/>
  <c r="E49" i="9"/>
  <c r="F49" i="9"/>
  <c r="G49" i="9"/>
  <c r="H49" i="9"/>
  <c r="A50" i="9"/>
  <c r="B50" i="9"/>
  <c r="C50" i="9"/>
  <c r="D50" i="9"/>
  <c r="E50" i="9"/>
  <c r="F50" i="9"/>
  <c r="G50" i="9"/>
  <c r="H50" i="9"/>
  <c r="A51" i="9"/>
  <c r="B51" i="9"/>
  <c r="C51" i="9"/>
  <c r="D51" i="9"/>
  <c r="E51" i="9"/>
  <c r="F51" i="9"/>
  <c r="G51" i="9"/>
  <c r="H51" i="9"/>
  <c r="A52" i="9"/>
  <c r="B52" i="9"/>
  <c r="C52" i="9"/>
  <c r="D52" i="9"/>
  <c r="E52" i="9"/>
  <c r="F52" i="9"/>
  <c r="G52" i="9"/>
  <c r="H52" i="9"/>
  <c r="A53" i="9"/>
  <c r="B53" i="9"/>
  <c r="C53" i="9"/>
  <c r="D53" i="9"/>
  <c r="E53" i="9"/>
  <c r="F53" i="9"/>
  <c r="G53" i="9"/>
  <c r="H53" i="9"/>
  <c r="A54" i="9"/>
  <c r="B54" i="9"/>
  <c r="C54" i="9"/>
  <c r="D54" i="9"/>
  <c r="E54" i="9"/>
  <c r="F54" i="9"/>
  <c r="G54" i="9"/>
  <c r="H54" i="9"/>
  <c r="A55" i="9"/>
  <c r="B55" i="9"/>
  <c r="C55" i="9"/>
  <c r="D55" i="9"/>
  <c r="E55" i="9"/>
  <c r="F55" i="9"/>
  <c r="G55" i="9"/>
  <c r="H55" i="9"/>
  <c r="A56" i="9"/>
  <c r="B56" i="9"/>
  <c r="C56" i="9"/>
  <c r="D56" i="9"/>
  <c r="E56" i="9"/>
  <c r="F56" i="9"/>
  <c r="G56" i="9"/>
  <c r="H56" i="9"/>
  <c r="A57" i="9"/>
  <c r="B57" i="9"/>
  <c r="C57" i="9"/>
  <c r="D57" i="9"/>
  <c r="E57" i="9"/>
  <c r="F57" i="9"/>
  <c r="G57" i="9"/>
  <c r="H57" i="9"/>
  <c r="A58" i="9"/>
  <c r="B58" i="9"/>
  <c r="C58" i="9"/>
  <c r="D58" i="9"/>
  <c r="E58" i="9"/>
  <c r="F58" i="9"/>
  <c r="G58" i="9"/>
  <c r="H58" i="9"/>
  <c r="A59" i="9"/>
  <c r="B59" i="9"/>
  <c r="C59" i="9"/>
  <c r="D59" i="9"/>
  <c r="E59" i="9"/>
  <c r="F59" i="9"/>
  <c r="G59" i="9"/>
  <c r="H59" i="9"/>
  <c r="A60" i="9"/>
  <c r="B60" i="9"/>
  <c r="C60" i="9"/>
  <c r="D60" i="9"/>
  <c r="E60" i="9"/>
  <c r="F60" i="9"/>
  <c r="G60" i="9"/>
  <c r="H60" i="9"/>
  <c r="A61" i="9"/>
  <c r="B61" i="9"/>
  <c r="C61" i="9"/>
  <c r="D61" i="9"/>
  <c r="E61" i="9"/>
  <c r="F61" i="9"/>
  <c r="G61" i="9"/>
  <c r="H61" i="9"/>
  <c r="A62" i="9"/>
  <c r="B62" i="9"/>
  <c r="C62" i="9"/>
  <c r="D62" i="9"/>
  <c r="E62" i="9"/>
  <c r="F62" i="9"/>
  <c r="G62" i="9"/>
  <c r="H62" i="9"/>
  <c r="A63" i="9"/>
  <c r="B63" i="9"/>
  <c r="C63" i="9"/>
  <c r="D63" i="9"/>
  <c r="E63" i="9"/>
  <c r="F63" i="9"/>
  <c r="G63" i="9"/>
  <c r="H63" i="9"/>
  <c r="A64" i="9"/>
  <c r="B64" i="9"/>
  <c r="C64" i="9"/>
  <c r="D64" i="9"/>
  <c r="E64" i="9"/>
  <c r="F64" i="9"/>
  <c r="G64" i="9"/>
  <c r="H64" i="9"/>
  <c r="A65" i="9"/>
  <c r="B65" i="9"/>
  <c r="C65" i="9"/>
  <c r="D65" i="9"/>
  <c r="E65" i="9"/>
  <c r="F65" i="9"/>
  <c r="G65" i="9"/>
  <c r="H65" i="9"/>
  <c r="B1" i="9"/>
  <c r="C1" i="9"/>
  <c r="D1" i="9"/>
  <c r="E1" i="9"/>
  <c r="F1" i="9"/>
  <c r="G1" i="9"/>
  <c r="H1" i="9"/>
  <c r="A2" i="8"/>
  <c r="B2" i="8"/>
  <c r="C2" i="8"/>
  <c r="D2" i="8"/>
  <c r="E2" i="8"/>
  <c r="F2" i="8"/>
  <c r="G2" i="8"/>
  <c r="H2" i="8"/>
  <c r="A3" i="8"/>
  <c r="B3" i="8"/>
  <c r="C3" i="8"/>
  <c r="D3" i="8"/>
  <c r="E3" i="8"/>
  <c r="F3" i="8"/>
  <c r="G3" i="8"/>
  <c r="H3" i="8"/>
  <c r="A4" i="8"/>
  <c r="B4" i="8"/>
  <c r="C4" i="8"/>
  <c r="D4" i="8"/>
  <c r="E4" i="8"/>
  <c r="F4" i="8"/>
  <c r="G4" i="8"/>
  <c r="H4" i="8"/>
  <c r="A5" i="8"/>
  <c r="B5" i="8"/>
  <c r="C5" i="8"/>
  <c r="D5" i="8"/>
  <c r="E5" i="8"/>
  <c r="F5" i="8"/>
  <c r="G5" i="8"/>
  <c r="H5" i="8"/>
  <c r="A6" i="8"/>
  <c r="B6" i="8"/>
  <c r="C6" i="8"/>
  <c r="D6" i="8"/>
  <c r="E6" i="8"/>
  <c r="F6" i="8"/>
  <c r="G6" i="8"/>
  <c r="H6" i="8"/>
  <c r="A7" i="8"/>
  <c r="B7" i="8"/>
  <c r="C7" i="8"/>
  <c r="D7" i="8"/>
  <c r="E7" i="8"/>
  <c r="F7" i="8"/>
  <c r="G7" i="8"/>
  <c r="H7" i="8"/>
  <c r="A8" i="8"/>
  <c r="B8" i="8"/>
  <c r="C8" i="8"/>
  <c r="D8" i="8"/>
  <c r="E8" i="8"/>
  <c r="F8" i="8"/>
  <c r="G8" i="8"/>
  <c r="H8" i="8"/>
  <c r="A9" i="8"/>
  <c r="B9" i="8"/>
  <c r="C9" i="8"/>
  <c r="D9" i="8"/>
  <c r="E9" i="8"/>
  <c r="F9" i="8"/>
  <c r="G9" i="8"/>
  <c r="H9" i="8"/>
  <c r="A10" i="8"/>
  <c r="B10" i="8"/>
  <c r="C10" i="8"/>
  <c r="D10" i="8"/>
  <c r="E10" i="8"/>
  <c r="F10" i="8"/>
  <c r="G10" i="8"/>
  <c r="H10" i="8"/>
  <c r="A11" i="8"/>
  <c r="B11" i="8"/>
  <c r="C11" i="8"/>
  <c r="D11" i="8"/>
  <c r="E11" i="8"/>
  <c r="F11" i="8"/>
  <c r="G11" i="8"/>
  <c r="H11" i="8"/>
  <c r="A12" i="8"/>
  <c r="B12" i="8"/>
  <c r="C12" i="8"/>
  <c r="D12" i="8"/>
  <c r="E12" i="8"/>
  <c r="F12" i="8"/>
  <c r="G12" i="8"/>
  <c r="H12" i="8"/>
  <c r="A13" i="8"/>
  <c r="B13" i="8"/>
  <c r="C13" i="8"/>
  <c r="D13" i="8"/>
  <c r="E13" i="8"/>
  <c r="F13" i="8"/>
  <c r="G13" i="8"/>
  <c r="H13" i="8"/>
  <c r="A14" i="8"/>
  <c r="B14" i="8"/>
  <c r="C14" i="8"/>
  <c r="D14" i="8"/>
  <c r="E14" i="8"/>
  <c r="F14" i="8"/>
  <c r="G14" i="8"/>
  <c r="H14" i="8"/>
  <c r="A15" i="8"/>
  <c r="B15" i="8"/>
  <c r="C15" i="8"/>
  <c r="D15" i="8"/>
  <c r="E15" i="8"/>
  <c r="F15" i="8"/>
  <c r="G15" i="8"/>
  <c r="H15" i="8"/>
  <c r="A16" i="8"/>
  <c r="B16" i="8"/>
  <c r="C16" i="8"/>
  <c r="D16" i="8"/>
  <c r="E16" i="8"/>
  <c r="F16" i="8"/>
  <c r="G16" i="8"/>
  <c r="H16" i="8"/>
  <c r="A17" i="8"/>
  <c r="B17" i="8"/>
  <c r="C17" i="8"/>
  <c r="D17" i="8"/>
  <c r="E17" i="8"/>
  <c r="F17" i="8"/>
  <c r="G17" i="8"/>
  <c r="H17" i="8"/>
  <c r="A18" i="8"/>
  <c r="B18" i="8"/>
  <c r="C18" i="8"/>
  <c r="D18" i="8"/>
  <c r="E18" i="8"/>
  <c r="F18" i="8"/>
  <c r="G18" i="8"/>
  <c r="H18" i="8"/>
  <c r="A19" i="8"/>
  <c r="B19" i="8"/>
  <c r="C19" i="8"/>
  <c r="D19" i="8"/>
  <c r="E19" i="8"/>
  <c r="F19" i="8"/>
  <c r="G19" i="8"/>
  <c r="H19" i="8"/>
  <c r="A20" i="8"/>
  <c r="B20" i="8"/>
  <c r="C20" i="8"/>
  <c r="D20" i="8"/>
  <c r="E20" i="8"/>
  <c r="F20" i="8"/>
  <c r="G20" i="8"/>
  <c r="H20" i="8"/>
  <c r="A21" i="8"/>
  <c r="B21" i="8"/>
  <c r="C21" i="8"/>
  <c r="D21" i="8"/>
  <c r="E21" i="8"/>
  <c r="F21" i="8"/>
  <c r="G21" i="8"/>
  <c r="H21" i="8"/>
  <c r="A22" i="8"/>
  <c r="B22" i="8"/>
  <c r="C22" i="8"/>
  <c r="D22" i="8"/>
  <c r="E22" i="8"/>
  <c r="F22" i="8"/>
  <c r="G22" i="8"/>
  <c r="H22" i="8"/>
  <c r="A23" i="8"/>
  <c r="B23" i="8"/>
  <c r="C23" i="8"/>
  <c r="D23" i="8"/>
  <c r="E23" i="8"/>
  <c r="F23" i="8"/>
  <c r="G23" i="8"/>
  <c r="H23" i="8"/>
  <c r="A24" i="8"/>
  <c r="B24" i="8"/>
  <c r="C24" i="8"/>
  <c r="D24" i="8"/>
  <c r="E24" i="8"/>
  <c r="F24" i="8"/>
  <c r="G24" i="8"/>
  <c r="H24" i="8"/>
  <c r="A25" i="8"/>
  <c r="B25" i="8"/>
  <c r="C25" i="8"/>
  <c r="D25" i="8"/>
  <c r="E25" i="8"/>
  <c r="F25" i="8"/>
  <c r="G25" i="8"/>
  <c r="H25" i="8"/>
  <c r="A26" i="8"/>
  <c r="B26" i="8"/>
  <c r="C26" i="8"/>
  <c r="D26" i="8"/>
  <c r="E26" i="8"/>
  <c r="F26" i="8"/>
  <c r="G26" i="8"/>
  <c r="H26" i="8"/>
  <c r="A27" i="8"/>
  <c r="B27" i="8"/>
  <c r="C27" i="8"/>
  <c r="D27" i="8"/>
  <c r="E27" i="8"/>
  <c r="F27" i="8"/>
  <c r="G27" i="8"/>
  <c r="H27" i="8"/>
  <c r="A28" i="8"/>
  <c r="B28" i="8"/>
  <c r="C28" i="8"/>
  <c r="D28" i="8"/>
  <c r="E28" i="8"/>
  <c r="F28" i="8"/>
  <c r="G28" i="8"/>
  <c r="H28" i="8"/>
  <c r="A29" i="8"/>
  <c r="B29" i="8"/>
  <c r="C29" i="8"/>
  <c r="D29" i="8"/>
  <c r="E29" i="8"/>
  <c r="F29" i="8"/>
  <c r="G29" i="8"/>
  <c r="H29" i="8"/>
  <c r="A30" i="8"/>
  <c r="B30" i="8"/>
  <c r="C30" i="8"/>
  <c r="D30" i="8"/>
  <c r="E30" i="8"/>
  <c r="F30" i="8"/>
  <c r="G30" i="8"/>
  <c r="H30" i="8"/>
  <c r="A31" i="8"/>
  <c r="B31" i="8"/>
  <c r="C31" i="8"/>
  <c r="D31" i="8"/>
  <c r="E31" i="8"/>
  <c r="F31" i="8"/>
  <c r="G31" i="8"/>
  <c r="H31" i="8"/>
  <c r="A32" i="8"/>
  <c r="B32" i="8"/>
  <c r="C32" i="8"/>
  <c r="D32" i="8"/>
  <c r="E32" i="8"/>
  <c r="F32" i="8"/>
  <c r="G32" i="8"/>
  <c r="H32" i="8"/>
  <c r="A33" i="8"/>
  <c r="B33" i="8"/>
  <c r="C33" i="8"/>
  <c r="D33" i="8"/>
  <c r="E33" i="8"/>
  <c r="F33" i="8"/>
  <c r="G33" i="8"/>
  <c r="H33" i="8"/>
  <c r="A34" i="8"/>
  <c r="B34" i="8"/>
  <c r="C34" i="8"/>
  <c r="D34" i="8"/>
  <c r="E34" i="8"/>
  <c r="F34" i="8"/>
  <c r="G34" i="8"/>
  <c r="H34" i="8"/>
  <c r="A35" i="8"/>
  <c r="B35" i="8"/>
  <c r="C35" i="8"/>
  <c r="D35" i="8"/>
  <c r="E35" i="8"/>
  <c r="F35" i="8"/>
  <c r="G35" i="8"/>
  <c r="H35" i="8"/>
  <c r="A36" i="8"/>
  <c r="B36" i="8"/>
  <c r="C36" i="8"/>
  <c r="D36" i="8"/>
  <c r="E36" i="8"/>
  <c r="F36" i="8"/>
  <c r="G36" i="8"/>
  <c r="H36" i="8"/>
  <c r="A37" i="8"/>
  <c r="B37" i="8"/>
  <c r="C37" i="8"/>
  <c r="D37" i="8"/>
  <c r="E37" i="8"/>
  <c r="F37" i="8"/>
  <c r="G37" i="8"/>
  <c r="H37" i="8"/>
  <c r="A38" i="8"/>
  <c r="B38" i="8"/>
  <c r="C38" i="8"/>
  <c r="D38" i="8"/>
  <c r="E38" i="8"/>
  <c r="F38" i="8"/>
  <c r="G38" i="8"/>
  <c r="H38" i="8"/>
  <c r="A39" i="8"/>
  <c r="B39" i="8"/>
  <c r="C39" i="8"/>
  <c r="D39" i="8"/>
  <c r="E39" i="8"/>
  <c r="F39" i="8"/>
  <c r="G39" i="8"/>
  <c r="H39" i="8"/>
  <c r="A40" i="8"/>
  <c r="B40" i="8"/>
  <c r="C40" i="8"/>
  <c r="D40" i="8"/>
  <c r="E40" i="8"/>
  <c r="F40" i="8"/>
  <c r="G40" i="8"/>
  <c r="H40" i="8"/>
  <c r="A41" i="8"/>
  <c r="B41" i="8"/>
  <c r="C41" i="8"/>
  <c r="D41" i="8"/>
  <c r="E41" i="8"/>
  <c r="F41" i="8"/>
  <c r="G41" i="8"/>
  <c r="H41" i="8"/>
  <c r="A42" i="8"/>
  <c r="B42" i="8"/>
  <c r="C42" i="8"/>
  <c r="D42" i="8"/>
  <c r="E42" i="8"/>
  <c r="F42" i="8"/>
  <c r="G42" i="8"/>
  <c r="H42" i="8"/>
  <c r="A43" i="8"/>
  <c r="B43" i="8"/>
  <c r="C43" i="8"/>
  <c r="D43" i="8"/>
  <c r="E43" i="8"/>
  <c r="F43" i="8"/>
  <c r="G43" i="8"/>
  <c r="H43" i="8"/>
  <c r="A44" i="8"/>
  <c r="B44" i="8"/>
  <c r="C44" i="8"/>
  <c r="D44" i="8"/>
  <c r="E44" i="8"/>
  <c r="F44" i="8"/>
  <c r="G44" i="8"/>
  <c r="H44" i="8"/>
  <c r="A45" i="8"/>
  <c r="B45" i="8"/>
  <c r="C45" i="8"/>
  <c r="D45" i="8"/>
  <c r="E45" i="8"/>
  <c r="F45" i="8"/>
  <c r="G45" i="8"/>
  <c r="H45" i="8"/>
  <c r="A46" i="8"/>
  <c r="B46" i="8"/>
  <c r="C46" i="8"/>
  <c r="D46" i="8"/>
  <c r="E46" i="8"/>
  <c r="F46" i="8"/>
  <c r="G46" i="8"/>
  <c r="H46" i="8"/>
  <c r="A47" i="8"/>
  <c r="B47" i="8"/>
  <c r="C47" i="8"/>
  <c r="D47" i="8"/>
  <c r="E47" i="8"/>
  <c r="F47" i="8"/>
  <c r="G47" i="8"/>
  <c r="H47" i="8"/>
  <c r="A48" i="8"/>
  <c r="B48" i="8"/>
  <c r="C48" i="8"/>
  <c r="D48" i="8"/>
  <c r="E48" i="8"/>
  <c r="F48" i="8"/>
  <c r="G48" i="8"/>
  <c r="H48" i="8"/>
  <c r="A49" i="8"/>
  <c r="B49" i="8"/>
  <c r="C49" i="8"/>
  <c r="D49" i="8"/>
  <c r="E49" i="8"/>
  <c r="F49" i="8"/>
  <c r="G49" i="8"/>
  <c r="H49" i="8"/>
  <c r="A50" i="8"/>
  <c r="B50" i="8"/>
  <c r="C50" i="8"/>
  <c r="D50" i="8"/>
  <c r="E50" i="8"/>
  <c r="F50" i="8"/>
  <c r="G50" i="8"/>
  <c r="H50" i="8"/>
  <c r="A51" i="8"/>
  <c r="B51" i="8"/>
  <c r="C51" i="8"/>
  <c r="D51" i="8"/>
  <c r="E51" i="8"/>
  <c r="F51" i="8"/>
  <c r="G51" i="8"/>
  <c r="H51" i="8"/>
  <c r="A52" i="8"/>
  <c r="B52" i="8"/>
  <c r="C52" i="8"/>
  <c r="D52" i="8"/>
  <c r="E52" i="8"/>
  <c r="F52" i="8"/>
  <c r="G52" i="8"/>
  <c r="H52" i="8"/>
  <c r="A53" i="8"/>
  <c r="B53" i="8"/>
  <c r="C53" i="8"/>
  <c r="D53" i="8"/>
  <c r="E53" i="8"/>
  <c r="F53" i="8"/>
  <c r="G53" i="8"/>
  <c r="H53" i="8"/>
  <c r="A54" i="8"/>
  <c r="B54" i="8"/>
  <c r="C54" i="8"/>
  <c r="D54" i="8"/>
  <c r="E54" i="8"/>
  <c r="F54" i="8"/>
  <c r="G54" i="8"/>
  <c r="H54" i="8"/>
  <c r="A55" i="8"/>
  <c r="B55" i="8"/>
  <c r="C55" i="8"/>
  <c r="D55" i="8"/>
  <c r="E55" i="8"/>
  <c r="F55" i="8"/>
  <c r="G55" i="8"/>
  <c r="H55" i="8"/>
  <c r="A56" i="8"/>
  <c r="B56" i="8"/>
  <c r="C56" i="8"/>
  <c r="D56" i="8"/>
  <c r="E56" i="8"/>
  <c r="F56" i="8"/>
  <c r="G56" i="8"/>
  <c r="H56" i="8"/>
  <c r="A57" i="8"/>
  <c r="B57" i="8"/>
  <c r="C57" i="8"/>
  <c r="D57" i="8"/>
  <c r="E57" i="8"/>
  <c r="F57" i="8"/>
  <c r="G57" i="8"/>
  <c r="H57" i="8"/>
  <c r="A58" i="8"/>
  <c r="B58" i="8"/>
  <c r="C58" i="8"/>
  <c r="D58" i="8"/>
  <c r="E58" i="8"/>
  <c r="F58" i="8"/>
  <c r="G58" i="8"/>
  <c r="H58" i="8"/>
  <c r="A59" i="8"/>
  <c r="B59" i="8"/>
  <c r="C59" i="8"/>
  <c r="D59" i="8"/>
  <c r="E59" i="8"/>
  <c r="F59" i="8"/>
  <c r="G59" i="8"/>
  <c r="H59" i="8"/>
  <c r="A60" i="8"/>
  <c r="B60" i="8"/>
  <c r="C60" i="8"/>
  <c r="D60" i="8"/>
  <c r="E60" i="8"/>
  <c r="F60" i="8"/>
  <c r="G60" i="8"/>
  <c r="H60" i="8"/>
  <c r="A61" i="8"/>
  <c r="B61" i="8"/>
  <c r="C61" i="8"/>
  <c r="D61" i="8"/>
  <c r="E61" i="8"/>
  <c r="F61" i="8"/>
  <c r="G61" i="8"/>
  <c r="H61" i="8"/>
  <c r="A62" i="8"/>
  <c r="B62" i="8"/>
  <c r="C62" i="8"/>
  <c r="D62" i="8"/>
  <c r="E62" i="8"/>
  <c r="F62" i="8"/>
  <c r="G62" i="8"/>
  <c r="H62" i="8"/>
  <c r="A63" i="8"/>
  <c r="B63" i="8"/>
  <c r="C63" i="8"/>
  <c r="D63" i="8"/>
  <c r="E63" i="8"/>
  <c r="F63" i="8"/>
  <c r="G63" i="8"/>
  <c r="H63" i="8"/>
  <c r="A64" i="8"/>
  <c r="B64" i="8"/>
  <c r="C64" i="8"/>
  <c r="D64" i="8"/>
  <c r="E64" i="8"/>
  <c r="F64" i="8"/>
  <c r="G64" i="8"/>
  <c r="H64" i="8"/>
  <c r="A65" i="8"/>
  <c r="B65" i="8"/>
  <c r="C65" i="8"/>
  <c r="D65" i="8"/>
  <c r="E65" i="8"/>
  <c r="F65" i="8"/>
  <c r="G65" i="8"/>
  <c r="H65" i="8"/>
  <c r="B1" i="8"/>
  <c r="C1" i="8"/>
  <c r="D1" i="8"/>
  <c r="E1" i="8"/>
  <c r="F1" i="8"/>
  <c r="G1" i="8"/>
  <c r="H1" i="8"/>
  <c r="A2" i="20"/>
  <c r="B2" i="20"/>
  <c r="C2" i="20"/>
  <c r="D2" i="20"/>
  <c r="E2" i="20"/>
  <c r="F2" i="20"/>
  <c r="G2" i="20"/>
  <c r="H2" i="20"/>
  <c r="A3" i="20"/>
  <c r="B3" i="20"/>
  <c r="C3" i="20"/>
  <c r="D3" i="20"/>
  <c r="E3" i="20"/>
  <c r="F3" i="20"/>
  <c r="G3" i="20"/>
  <c r="H3" i="20"/>
  <c r="A4" i="20"/>
  <c r="B4" i="20"/>
  <c r="C4" i="20"/>
  <c r="D4" i="20"/>
  <c r="E4" i="20"/>
  <c r="F4" i="20"/>
  <c r="G4" i="20"/>
  <c r="H4" i="20"/>
  <c r="A5" i="20"/>
  <c r="B5" i="20"/>
  <c r="C5" i="20"/>
  <c r="D5" i="20"/>
  <c r="E5" i="20"/>
  <c r="F5" i="20"/>
  <c r="G5" i="20"/>
  <c r="H5" i="20"/>
  <c r="A6" i="20"/>
  <c r="B6" i="20"/>
  <c r="C6" i="20"/>
  <c r="D6" i="20"/>
  <c r="E6" i="20"/>
  <c r="F6" i="20"/>
  <c r="G6" i="20"/>
  <c r="H6" i="20"/>
  <c r="A7" i="20"/>
  <c r="B7" i="20"/>
  <c r="C7" i="20"/>
  <c r="D7" i="20"/>
  <c r="E7" i="20"/>
  <c r="F7" i="20"/>
  <c r="G7" i="20"/>
  <c r="H7" i="20"/>
  <c r="A8" i="20"/>
  <c r="B8" i="20"/>
  <c r="C8" i="20"/>
  <c r="D8" i="20"/>
  <c r="E8" i="20"/>
  <c r="F8" i="20"/>
  <c r="G8" i="20"/>
  <c r="H8" i="20"/>
  <c r="A9" i="20"/>
  <c r="B9" i="20"/>
  <c r="C9" i="20"/>
  <c r="D9" i="20"/>
  <c r="E9" i="20"/>
  <c r="F9" i="20"/>
  <c r="G9" i="20"/>
  <c r="H9" i="20"/>
  <c r="A10" i="20"/>
  <c r="B10" i="20"/>
  <c r="C10" i="20"/>
  <c r="D10" i="20"/>
  <c r="E10" i="20"/>
  <c r="F10" i="20"/>
  <c r="G10" i="20"/>
  <c r="H10" i="20"/>
  <c r="A11" i="20"/>
  <c r="B11" i="20"/>
  <c r="C11" i="20"/>
  <c r="D11" i="20"/>
  <c r="E11" i="20"/>
  <c r="F11" i="20"/>
  <c r="G11" i="20"/>
  <c r="H11" i="20"/>
  <c r="A12" i="20"/>
  <c r="B12" i="20"/>
  <c r="C12" i="20"/>
  <c r="D12" i="20"/>
  <c r="E12" i="20"/>
  <c r="F12" i="20"/>
  <c r="G12" i="20"/>
  <c r="H12" i="20"/>
  <c r="A13" i="20"/>
  <c r="B13" i="20"/>
  <c r="C13" i="20"/>
  <c r="D13" i="20"/>
  <c r="E13" i="20"/>
  <c r="F13" i="20"/>
  <c r="G13" i="20"/>
  <c r="H13" i="20"/>
  <c r="A14" i="20"/>
  <c r="B14" i="20"/>
  <c r="C14" i="20"/>
  <c r="D14" i="20"/>
  <c r="E14" i="20"/>
  <c r="F14" i="20"/>
  <c r="G14" i="20"/>
  <c r="H14" i="20"/>
  <c r="A15" i="20"/>
  <c r="B15" i="20"/>
  <c r="C15" i="20"/>
  <c r="D15" i="20"/>
  <c r="E15" i="20"/>
  <c r="F15" i="20"/>
  <c r="G15" i="20"/>
  <c r="H15" i="20"/>
  <c r="A16" i="20"/>
  <c r="B16" i="20"/>
  <c r="C16" i="20"/>
  <c r="D16" i="20"/>
  <c r="E16" i="20"/>
  <c r="F16" i="20"/>
  <c r="G16" i="20"/>
  <c r="H16" i="20"/>
  <c r="A17" i="20"/>
  <c r="B17" i="20"/>
  <c r="C17" i="20"/>
  <c r="D17" i="20"/>
  <c r="E17" i="20"/>
  <c r="F17" i="20"/>
  <c r="G17" i="20"/>
  <c r="H17" i="20"/>
  <c r="A18" i="20"/>
  <c r="B18" i="20"/>
  <c r="C18" i="20"/>
  <c r="D18" i="20"/>
  <c r="E18" i="20"/>
  <c r="F18" i="20"/>
  <c r="G18" i="20"/>
  <c r="H18" i="20"/>
  <c r="A19" i="20"/>
  <c r="B19" i="20"/>
  <c r="C19" i="20"/>
  <c r="D19" i="20"/>
  <c r="E19" i="20"/>
  <c r="F19" i="20"/>
  <c r="G19" i="20"/>
  <c r="H19" i="20"/>
  <c r="A20" i="20"/>
  <c r="B20" i="20"/>
  <c r="C20" i="20"/>
  <c r="D20" i="20"/>
  <c r="E20" i="20"/>
  <c r="F20" i="20"/>
  <c r="G20" i="20"/>
  <c r="H20" i="20"/>
  <c r="A21" i="20"/>
  <c r="B21" i="20"/>
  <c r="C21" i="20"/>
  <c r="D21" i="20"/>
  <c r="E21" i="20"/>
  <c r="F21" i="20"/>
  <c r="G21" i="20"/>
  <c r="H21" i="20"/>
  <c r="A22" i="20"/>
  <c r="B22" i="20"/>
  <c r="C22" i="20"/>
  <c r="D22" i="20"/>
  <c r="E22" i="20"/>
  <c r="F22" i="20"/>
  <c r="G22" i="20"/>
  <c r="H22" i="20"/>
  <c r="A23" i="20"/>
  <c r="B23" i="20"/>
  <c r="C23" i="20"/>
  <c r="D23" i="20"/>
  <c r="E23" i="20"/>
  <c r="F23" i="20"/>
  <c r="G23" i="20"/>
  <c r="H23" i="20"/>
  <c r="A24" i="20"/>
  <c r="B24" i="20"/>
  <c r="C24" i="20"/>
  <c r="D24" i="20"/>
  <c r="E24" i="20"/>
  <c r="F24" i="20"/>
  <c r="G24" i="20"/>
  <c r="H24" i="20"/>
  <c r="A25" i="20"/>
  <c r="B25" i="20"/>
  <c r="C25" i="20"/>
  <c r="D25" i="20"/>
  <c r="E25" i="20"/>
  <c r="F25" i="20"/>
  <c r="G25" i="20"/>
  <c r="H25" i="20"/>
  <c r="A26" i="20"/>
  <c r="B26" i="20"/>
  <c r="C26" i="20"/>
  <c r="D26" i="20"/>
  <c r="E26" i="20"/>
  <c r="F26" i="20"/>
  <c r="G26" i="20"/>
  <c r="H26" i="20"/>
  <c r="A27" i="20"/>
  <c r="B27" i="20"/>
  <c r="C27" i="20"/>
  <c r="D27" i="20"/>
  <c r="E27" i="20"/>
  <c r="F27" i="20"/>
  <c r="G27" i="20"/>
  <c r="H27" i="20"/>
  <c r="A28" i="20"/>
  <c r="B28" i="20"/>
  <c r="C28" i="20"/>
  <c r="D28" i="20"/>
  <c r="E28" i="20"/>
  <c r="F28" i="20"/>
  <c r="G28" i="20"/>
  <c r="H28" i="20"/>
  <c r="A29" i="20"/>
  <c r="B29" i="20"/>
  <c r="C29" i="20"/>
  <c r="D29" i="20"/>
  <c r="E29" i="20"/>
  <c r="F29" i="20"/>
  <c r="G29" i="20"/>
  <c r="H29" i="20"/>
  <c r="A30" i="20"/>
  <c r="B30" i="20"/>
  <c r="C30" i="20"/>
  <c r="D30" i="20"/>
  <c r="E30" i="20"/>
  <c r="F30" i="20"/>
  <c r="G30" i="20"/>
  <c r="H30" i="20"/>
  <c r="A31" i="20"/>
  <c r="B31" i="20"/>
  <c r="C31" i="20"/>
  <c r="D31" i="20"/>
  <c r="E31" i="20"/>
  <c r="F31" i="20"/>
  <c r="G31" i="20"/>
  <c r="H31" i="20"/>
  <c r="A32" i="20"/>
  <c r="B32" i="20"/>
  <c r="C32" i="20"/>
  <c r="D32" i="20"/>
  <c r="E32" i="20"/>
  <c r="F32" i="20"/>
  <c r="G32" i="20"/>
  <c r="H32" i="20"/>
  <c r="A33" i="20"/>
  <c r="B33" i="20"/>
  <c r="C33" i="20"/>
  <c r="D33" i="20"/>
  <c r="E33" i="20"/>
  <c r="F33" i="20"/>
  <c r="G33" i="20"/>
  <c r="H33" i="20"/>
  <c r="A34" i="20"/>
  <c r="B34" i="20"/>
  <c r="C34" i="20"/>
  <c r="D34" i="20"/>
  <c r="E34" i="20"/>
  <c r="F34" i="20"/>
  <c r="G34" i="20"/>
  <c r="H34" i="20"/>
  <c r="A35" i="20"/>
  <c r="B35" i="20"/>
  <c r="C35" i="20"/>
  <c r="D35" i="20"/>
  <c r="E35" i="20"/>
  <c r="F35" i="20"/>
  <c r="G35" i="20"/>
  <c r="H35" i="20"/>
  <c r="A36" i="20"/>
  <c r="B36" i="20"/>
  <c r="C36" i="20"/>
  <c r="D36" i="20"/>
  <c r="E36" i="20"/>
  <c r="F36" i="20"/>
  <c r="G36" i="20"/>
  <c r="H36" i="20"/>
  <c r="A37" i="20"/>
  <c r="B37" i="20"/>
  <c r="C37" i="20"/>
  <c r="D37" i="20"/>
  <c r="E37" i="20"/>
  <c r="F37" i="20"/>
  <c r="G37" i="20"/>
  <c r="H37" i="20"/>
  <c r="A38" i="20"/>
  <c r="B38" i="20"/>
  <c r="C38" i="20"/>
  <c r="D38" i="20"/>
  <c r="E38" i="20"/>
  <c r="F38" i="20"/>
  <c r="G38" i="20"/>
  <c r="H38" i="20"/>
  <c r="A39" i="20"/>
  <c r="B39" i="20"/>
  <c r="C39" i="20"/>
  <c r="D39" i="20"/>
  <c r="E39" i="20"/>
  <c r="F39" i="20"/>
  <c r="G39" i="20"/>
  <c r="H39" i="20"/>
  <c r="A40" i="20"/>
  <c r="B40" i="20"/>
  <c r="C40" i="20"/>
  <c r="D40" i="20"/>
  <c r="E40" i="20"/>
  <c r="F40" i="20"/>
  <c r="G40" i="20"/>
  <c r="H40" i="20"/>
  <c r="A41" i="20"/>
  <c r="B41" i="20"/>
  <c r="C41" i="20"/>
  <c r="D41" i="20"/>
  <c r="E41" i="20"/>
  <c r="F41" i="20"/>
  <c r="G41" i="20"/>
  <c r="H41" i="20"/>
  <c r="A42" i="20"/>
  <c r="B42" i="20"/>
  <c r="C42" i="20"/>
  <c r="D42" i="20"/>
  <c r="E42" i="20"/>
  <c r="F42" i="20"/>
  <c r="G42" i="20"/>
  <c r="H42" i="20"/>
  <c r="A43" i="20"/>
  <c r="B43" i="20"/>
  <c r="C43" i="20"/>
  <c r="D43" i="20"/>
  <c r="E43" i="20"/>
  <c r="F43" i="20"/>
  <c r="G43" i="20"/>
  <c r="H43" i="20"/>
  <c r="A44" i="20"/>
  <c r="B44" i="20"/>
  <c r="C44" i="20"/>
  <c r="D44" i="20"/>
  <c r="E44" i="20"/>
  <c r="F44" i="20"/>
  <c r="G44" i="20"/>
  <c r="H44" i="20"/>
  <c r="A45" i="20"/>
  <c r="B45" i="20"/>
  <c r="C45" i="20"/>
  <c r="D45" i="20"/>
  <c r="E45" i="20"/>
  <c r="F45" i="20"/>
  <c r="G45" i="20"/>
  <c r="H45" i="20"/>
  <c r="A46" i="20"/>
  <c r="B46" i="20"/>
  <c r="C46" i="20"/>
  <c r="D46" i="20"/>
  <c r="E46" i="20"/>
  <c r="F46" i="20"/>
  <c r="G46" i="20"/>
  <c r="H46" i="20"/>
  <c r="A47" i="20"/>
  <c r="B47" i="20"/>
  <c r="C47" i="20"/>
  <c r="D47" i="20"/>
  <c r="E47" i="20"/>
  <c r="F47" i="20"/>
  <c r="G47" i="20"/>
  <c r="H47" i="20"/>
  <c r="A48" i="20"/>
  <c r="B48" i="20"/>
  <c r="C48" i="20"/>
  <c r="D48" i="20"/>
  <c r="E48" i="20"/>
  <c r="F48" i="20"/>
  <c r="G48" i="20"/>
  <c r="H48" i="20"/>
  <c r="A49" i="20"/>
  <c r="B49" i="20"/>
  <c r="C49" i="20"/>
  <c r="D49" i="20"/>
  <c r="E49" i="20"/>
  <c r="F49" i="20"/>
  <c r="G49" i="20"/>
  <c r="H49" i="20"/>
  <c r="A50" i="20"/>
  <c r="B50" i="20"/>
  <c r="C50" i="20"/>
  <c r="D50" i="20"/>
  <c r="E50" i="20"/>
  <c r="F50" i="20"/>
  <c r="G50" i="20"/>
  <c r="H50" i="20"/>
  <c r="A51" i="20"/>
  <c r="B51" i="20"/>
  <c r="C51" i="20"/>
  <c r="D51" i="20"/>
  <c r="E51" i="20"/>
  <c r="F51" i="20"/>
  <c r="G51" i="20"/>
  <c r="H51" i="20"/>
  <c r="A52" i="20"/>
  <c r="B52" i="20"/>
  <c r="C52" i="20"/>
  <c r="D52" i="20"/>
  <c r="E52" i="20"/>
  <c r="F52" i="20"/>
  <c r="G52" i="20"/>
  <c r="H52" i="20"/>
  <c r="A53" i="20"/>
  <c r="B53" i="20"/>
  <c r="C53" i="20"/>
  <c r="D53" i="20"/>
  <c r="E53" i="20"/>
  <c r="F53" i="20"/>
  <c r="G53" i="20"/>
  <c r="H53" i="20"/>
  <c r="A54" i="20"/>
  <c r="B54" i="20"/>
  <c r="C54" i="20"/>
  <c r="D54" i="20"/>
  <c r="E54" i="20"/>
  <c r="F54" i="20"/>
  <c r="G54" i="20"/>
  <c r="H54" i="20"/>
  <c r="A55" i="20"/>
  <c r="B55" i="20"/>
  <c r="C55" i="20"/>
  <c r="D55" i="20"/>
  <c r="E55" i="20"/>
  <c r="F55" i="20"/>
  <c r="G55" i="20"/>
  <c r="H55" i="20"/>
  <c r="A56" i="20"/>
  <c r="B56" i="20"/>
  <c r="C56" i="20"/>
  <c r="D56" i="20"/>
  <c r="E56" i="20"/>
  <c r="F56" i="20"/>
  <c r="G56" i="20"/>
  <c r="H56" i="20"/>
  <c r="A57" i="20"/>
  <c r="B57" i="20"/>
  <c r="C57" i="20"/>
  <c r="D57" i="20"/>
  <c r="E57" i="20"/>
  <c r="F57" i="20"/>
  <c r="G57" i="20"/>
  <c r="H57" i="20"/>
  <c r="A58" i="20"/>
  <c r="B58" i="20"/>
  <c r="C58" i="20"/>
  <c r="D58" i="20"/>
  <c r="E58" i="20"/>
  <c r="F58" i="20"/>
  <c r="G58" i="20"/>
  <c r="H58" i="20"/>
  <c r="A59" i="20"/>
  <c r="B59" i="20"/>
  <c r="C59" i="20"/>
  <c r="D59" i="20"/>
  <c r="E59" i="20"/>
  <c r="F59" i="20"/>
  <c r="G59" i="20"/>
  <c r="H59" i="20"/>
  <c r="A60" i="20"/>
  <c r="B60" i="20"/>
  <c r="C60" i="20"/>
  <c r="D60" i="20"/>
  <c r="E60" i="20"/>
  <c r="F60" i="20"/>
  <c r="G60" i="20"/>
  <c r="H60" i="20"/>
  <c r="A61" i="20"/>
  <c r="B61" i="20"/>
  <c r="C61" i="20"/>
  <c r="D61" i="20"/>
  <c r="E61" i="20"/>
  <c r="F61" i="20"/>
  <c r="G61" i="20"/>
  <c r="H61" i="20"/>
  <c r="A62" i="20"/>
  <c r="B62" i="20"/>
  <c r="C62" i="20"/>
  <c r="D62" i="20"/>
  <c r="E62" i="20"/>
  <c r="F62" i="20"/>
  <c r="G62" i="20"/>
  <c r="H62" i="20"/>
  <c r="A63" i="20"/>
  <c r="B63" i="20"/>
  <c r="C63" i="20"/>
  <c r="D63" i="20"/>
  <c r="E63" i="20"/>
  <c r="F63" i="20"/>
  <c r="G63" i="20"/>
  <c r="H63" i="20"/>
  <c r="A64" i="20"/>
  <c r="B64" i="20"/>
  <c r="C64" i="20"/>
  <c r="D64" i="20"/>
  <c r="E64" i="20"/>
  <c r="F64" i="20"/>
  <c r="G64" i="20"/>
  <c r="H64" i="20"/>
  <c r="A65" i="20"/>
  <c r="B65" i="20"/>
  <c r="C65" i="20"/>
  <c r="D65" i="20"/>
  <c r="E65" i="20"/>
  <c r="F65" i="20"/>
  <c r="G65" i="20"/>
  <c r="H65" i="20"/>
  <c r="B1" i="20"/>
  <c r="C1" i="20"/>
  <c r="D1" i="20"/>
  <c r="E1" i="20"/>
  <c r="F1" i="20"/>
  <c r="G1" i="20"/>
  <c r="H1" i="20"/>
  <c r="Y210" i="1" l="1"/>
  <c r="Z210" i="1" s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09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41" i="1"/>
  <c r="Y142" i="1"/>
  <c r="Z142" i="1" s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41" i="1"/>
  <c r="Y74" i="1"/>
  <c r="Z74" i="1" s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73" i="1"/>
  <c r="Z143" i="1" l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211" i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75" i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A1" i="20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5" i="1"/>
  <c r="Y6" i="1"/>
  <c r="Z6" i="1" s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5" i="1"/>
  <c r="Z7" i="1" l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A1" i="10" l="1"/>
  <c r="A1" i="9"/>
  <c r="A1" i="8"/>
  <c r="W210" i="1" l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09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41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73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5" i="1"/>
  <c r="H210" i="1" l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09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41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73" i="1"/>
  <c r="H20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5" i="1"/>
</calcChain>
</file>

<file path=xl/sharedStrings.xml><?xml version="1.0" encoding="utf-8"?>
<sst xmlns="http://schemas.openxmlformats.org/spreadsheetml/2006/main" count="1083" uniqueCount="165">
  <si>
    <t>GDAŃSK/POWIAT GDAŃSKI/WOJEWÓDZTWO POMORSKIE</t>
  </si>
  <si>
    <t>WROCŁAW/Powiat m.Wrocław/WOJEWÓDZTWO DOLNOŚLĄSKIE</t>
  </si>
  <si>
    <t>KRAKÓW/Powiat m.Kraków/WOJEWÓDZTWO MAŁOPOLSKIE</t>
  </si>
  <si>
    <t>WARSZAWA/Powiat m.Warszawa/WOJEWÓDZTWO MAZOWIECKIE</t>
  </si>
  <si>
    <t>I 2015</t>
  </si>
  <si>
    <t>II 2015</t>
  </si>
  <si>
    <t>III 2015</t>
  </si>
  <si>
    <t>IV 2015</t>
  </si>
  <si>
    <t>I 2016</t>
  </si>
  <si>
    <t>II 2016</t>
  </si>
  <si>
    <t>III 2016</t>
  </si>
  <si>
    <t>IV 2016</t>
  </si>
  <si>
    <t>I 2017</t>
  </si>
  <si>
    <t>II 2017</t>
  </si>
  <si>
    <t>III 2017</t>
  </si>
  <si>
    <t>IV 2017</t>
  </si>
  <si>
    <t>I 2018</t>
  </si>
  <si>
    <t>II 2018</t>
  </si>
  <si>
    <t>III 2018</t>
  </si>
  <si>
    <t>IV 2018</t>
  </si>
  <si>
    <t>Stopa bezrobocia - powiat gdański</t>
  </si>
  <si>
    <t>Mieszkania oddane do użytkowania - powiat gdański</t>
  </si>
  <si>
    <t>Przeciętn wynagrodzenia brutto - województwo pomorskie</t>
  </si>
  <si>
    <t>Przyrost naturalny - powiat gdański</t>
  </si>
  <si>
    <t>Wskaźnik cen towarów i usług konsumpcyjnych - województwo pomorskie - ogółem - okres poprzedni = 100</t>
  </si>
  <si>
    <t>Kwartał</t>
  </si>
  <si>
    <t>Ceny transakcyjne mieszkań - ogółem - powiat m. Wrocław</t>
  </si>
  <si>
    <t>Ceny transakcyjne mieszkań - rynek wtórny - powiat m. Wrocław</t>
  </si>
  <si>
    <t>Ceny transakcyjne mieszkań - rynek pierwotny - powiat m. Wrocław</t>
  </si>
  <si>
    <t>Ceny transakcyjne mieszkań dla konkretnego metrażu - powiat m. Wrocław- do 40m2</t>
  </si>
  <si>
    <t>Ceny transakcyjne mieszkań dla konkretnego metrażu - powiat m. Wrocław -  40,1-60 m2</t>
  </si>
  <si>
    <t>Ceny transakcyjne mieszkań dla konkretnego metrażu - powiat m. Wrocław - 60,1-80 m2</t>
  </si>
  <si>
    <t>Ceny transakcyjne mieszkań dla konkretnego metrażu - powiat m. Wrocław-  powyżej 80,1 m2</t>
  </si>
  <si>
    <t>Stopa bezrobocia - powiat m. Wrocław</t>
  </si>
  <si>
    <t>Mieszkania oddane do użytkowania - powiat m. Wrocław</t>
  </si>
  <si>
    <t>Przyrost naturalny - powiat m. Wrocław</t>
  </si>
  <si>
    <t>Ceny transakcyjne mieszkań - rynek wtórny - Wrocław</t>
  </si>
  <si>
    <t>Ceny transakcyjne mieszkań - rynek pierwotny -  Wrocław</t>
  </si>
  <si>
    <t>Ceny transakcyjne mieszkań dla konkretnego metrażu -  Wrocław -  do 35</t>
  </si>
  <si>
    <t>Ceny transakcyjne mieszkań dla konkretnego metrażu -  Wrocław - 35-40</t>
  </si>
  <si>
    <t>Ceny transakcyjne mieszkań dla konkretnego metrażu -  Wrocław - 40-50</t>
  </si>
  <si>
    <t>Ceny transakcyjne mieszkań dla konkretnego metrażu -  Wrocław - 50-60</t>
  </si>
  <si>
    <t>Ceny transakcyjne mieszkań dla konkretnego metrażu -  Wrocław - 60-70</t>
  </si>
  <si>
    <t>Ceny transakcyjne mieszkań dla konkretnego metrażu -  Wrocław - 70-80</t>
  </si>
  <si>
    <t>Ceny transakcyjne mieszkań dla konkretnego metrażu -  Wrocław -80-100</t>
  </si>
  <si>
    <t>Ceny transakcyjne mieszkań dla konkretnego metrażu - Wrocław - powyżej 100</t>
  </si>
  <si>
    <t>Wskaźnik cen towarów i usług konsumpcyjnych - województwo dolnośląskie - ogółem - okres poprzedni = 100</t>
  </si>
  <si>
    <t>Przeciętn wynagrodzenia brutto - województwo dolnośląskie</t>
  </si>
  <si>
    <t>Ceny transakcyjne mieszkań - ogółem - powiat m. Kraków</t>
  </si>
  <si>
    <t>Ceny transakcyjne mieszkań - rynek wtórny - powiat m. Kraków</t>
  </si>
  <si>
    <t>Ceny transakcyjne mieszkań - rynek pierwotny - powiat m. Kraków</t>
  </si>
  <si>
    <t>Ceny transakcyjne mieszkań - rynek wtórny - Kraków</t>
  </si>
  <si>
    <t>Ceny transakcyjne mieszkań - rynek pierwotny -  Kraków</t>
  </si>
  <si>
    <t>Ceny transakcyjne mieszkań dla konkretnego metrażu - powiat m. Kraków- do 40m2</t>
  </si>
  <si>
    <t>Ceny transakcyjne mieszkań dla konkretnego metrażu - powiat m. Kraków -  40,1-60 m2</t>
  </si>
  <si>
    <t>Ceny transakcyjne mieszkań dla konkretnego metrażu - powiat m. Kraków - 60,1-80 m2</t>
  </si>
  <si>
    <t>Ceny transakcyjne mieszkań dla konkretnego metrażu - powiat m. Kraków -  powyżej 80,1 m2</t>
  </si>
  <si>
    <t>Ceny transakcyjne mieszkań dla konkretnego metrażu -  Kraków -  do 35</t>
  </si>
  <si>
    <t>Ceny transakcyjne mieszkań dla konkretnego metrażu -  Kraków - 35-40</t>
  </si>
  <si>
    <t>Ceny transakcyjne mieszkań dla konkretnego metrażu -  Kraków - 40-50</t>
  </si>
  <si>
    <t>Ceny transakcyjne mieszkań dla konkretnego metrażu -  Kraków - 50-60</t>
  </si>
  <si>
    <t>Ceny transakcyjne mieszkań dla konkretnego metrażu -  Kraków - 60-70</t>
  </si>
  <si>
    <t>Ceny transakcyjne mieszkań dla konkretnego metrażu - Kraków - 70-80</t>
  </si>
  <si>
    <t>Ceny transakcyjne mieszkań dla konkretnego metrażu -  Kraków -80-100</t>
  </si>
  <si>
    <t>Ceny transakcyjne mieszkań dla konkretnego metrażu - Kraków - powyżej 100</t>
  </si>
  <si>
    <t>Wskaźnik cen towarów i usług konsumpcyjnych - województwo małopolskie - ogółem - okres poprzedni = 100</t>
  </si>
  <si>
    <t>Stopa bezrobocia - powiat m. Kraków</t>
  </si>
  <si>
    <t>Mieszkania oddane do użytkowania - powiat m. Kraków</t>
  </si>
  <si>
    <t>Przyrost naturalny - powiat m. Kraków</t>
  </si>
  <si>
    <t>Przeciętn wynagrodzenia brutto - województwo małopolskie</t>
  </si>
  <si>
    <t>Ceny transakcyjne mieszkań - ogółem - powiat m. Warszawa</t>
  </si>
  <si>
    <t>Ceny transakcyjne mieszkań - rynek wtórny - powiat m. Warszawa</t>
  </si>
  <si>
    <t>Ceny transakcyjne mieszkań - rynek pierwotny - powiat m. Warszawa</t>
  </si>
  <si>
    <t>Przyrost naturalny - powiat m. Warszawa</t>
  </si>
  <si>
    <t>Mieszkania oddane do użytkowania - powiat m. Warszawa</t>
  </si>
  <si>
    <t>Stopa bezrobocia - powiat m. Warszawa</t>
  </si>
  <si>
    <t>Ceny transakcyjne mieszkań dla konkretnego metrażu - Warszawa - powyżej 100</t>
  </si>
  <si>
    <t>Ceny transakcyjne mieszkań dla konkretnego metrażu -  Warszawa -80-100</t>
  </si>
  <si>
    <t>Ceny transakcyjne mieszkań dla konkretnego metrażu - Warszawa - 70-80</t>
  </si>
  <si>
    <t>Ceny transakcyjne mieszkań dla konkretnego metrażu -  Warszawa - 60-70</t>
  </si>
  <si>
    <t>Ceny transakcyjne mieszkań dla konkretnego metrażu -  Warszawa - 50-60</t>
  </si>
  <si>
    <t>Ceny transakcyjne mieszkań dla konkretnego metrażu -  Warszawa - 40-50</t>
  </si>
  <si>
    <t>Ceny transakcyjne mieszkań dla konkretnego metrażu - Warszawa - 35-40</t>
  </si>
  <si>
    <t>Ceny transakcyjne mieszkań dla konkretnego metrażu -  Warszawa -  do 35</t>
  </si>
  <si>
    <t>Ceny transakcyjne mieszkań dla konkretnego metrażu - powiat m. Warszawa -  powyżej 80,1 m2</t>
  </si>
  <si>
    <t>Ceny transakcyjne mieszkań dla konkretnego metrażu - powiat m. Warszawa - 60,1-80 m2</t>
  </si>
  <si>
    <t>Ceny transakcyjne mieszkań dla konkretnego metrażu - powiat m. Warszawa -  40,1-60 m2</t>
  </si>
  <si>
    <t>Ceny transakcyjne mieszkań dla konkretnego metrażu - powiat m. Warszawa- do 40m2</t>
  </si>
  <si>
    <t>Ceny transakcyjne mieszkań - rynek pierwotny - Warszawa</t>
  </si>
  <si>
    <t>Ceny transakcyjne mieszkań - rynek wtórny - Warszawa</t>
  </si>
  <si>
    <t>Ceny transakcyjne  - ogółem - powiat gdański</t>
  </si>
  <si>
    <t>Ceny transakcyjne - rynek wtórny - powiat gdański</t>
  </si>
  <si>
    <t>Ceny transakcyjne  - rynek pierwotny - powiat gdański</t>
  </si>
  <si>
    <t>Ceny transakcyjne  - rynek wtórny - Gdańsk</t>
  </si>
  <si>
    <t>Ceny transakcyjne  - rynek pierwotny - Gdańsk</t>
  </si>
  <si>
    <t>Ceny transakcyjne  do 40 - powiat gdański</t>
  </si>
  <si>
    <t xml:space="preserve">Ceny transakcyjne  40-60 - powiat gdański </t>
  </si>
  <si>
    <t>Ceny transakcyjne  60-80 - powiat gdański</t>
  </si>
  <si>
    <t>Ceny transakcyjne  powyżej 80 - powiat gdański</t>
  </si>
  <si>
    <t>Ceny transakcyjne  do 35 - Gdańsk</t>
  </si>
  <si>
    <t>Ceny transakcyjne  35-40 - Gdańsk</t>
  </si>
  <si>
    <t>Ceny transakcyjne 40-50 - Gdańsk</t>
  </si>
  <si>
    <t xml:space="preserve">Ceny transakcyjne powyżej 100 - Gdańsk </t>
  </si>
  <si>
    <t>Ceny transakcyjne  80-100 - Gdańsk</t>
  </si>
  <si>
    <t xml:space="preserve">Ceny transakcyjne 70-80 - Gdańsk </t>
  </si>
  <si>
    <t>Ceny transakcyjne  60-70 - Gdańsk</t>
  </si>
  <si>
    <t>Ceny transakcyjne 50-60 - Gdańsk</t>
  </si>
  <si>
    <t>Kw</t>
  </si>
  <si>
    <t>Cena_40-60_p</t>
  </si>
  <si>
    <t>Cena_60-80_p</t>
  </si>
  <si>
    <t>Cena_do40_p</t>
  </si>
  <si>
    <t>Cena_pow80_p</t>
  </si>
  <si>
    <t>Cena_do 35_m</t>
  </si>
  <si>
    <t>Cena_35-40_m</t>
  </si>
  <si>
    <t>Cena_40-50_m</t>
  </si>
  <si>
    <t>Cena_50-60_m</t>
  </si>
  <si>
    <t>Cena_60-70_m</t>
  </si>
  <si>
    <t>Cena_70-80_m</t>
  </si>
  <si>
    <t>Cena_80-100_m</t>
  </si>
  <si>
    <t>Cena_pow100_m</t>
  </si>
  <si>
    <t>Wsk_cen_w</t>
  </si>
  <si>
    <t>Bezr_p</t>
  </si>
  <si>
    <t>Cena_wt_p</t>
  </si>
  <si>
    <t>Cena_pierw_p</t>
  </si>
  <si>
    <t>Cena_wt_m</t>
  </si>
  <si>
    <t>Cena_pierw_m</t>
  </si>
  <si>
    <t>PN_p</t>
  </si>
  <si>
    <t>W_w</t>
  </si>
  <si>
    <t>Cena_p</t>
  </si>
  <si>
    <t>M_p</t>
  </si>
  <si>
    <t>Cena_mean</t>
  </si>
  <si>
    <t>Cena_pow80_mean</t>
  </si>
  <si>
    <t>Wskaźnik inflacji 
[miesiąc poprzedni =1] łańcuchowy</t>
  </si>
  <si>
    <t>Wsk_cen_lancuch</t>
  </si>
  <si>
    <t>Wsk_cen_jednopod</t>
  </si>
  <si>
    <t>Cena_35-50_mean</t>
  </si>
  <si>
    <t>Cena_50-80_mean</t>
  </si>
  <si>
    <t>cena-1</t>
  </si>
  <si>
    <t>do modelu statycznego</t>
  </si>
  <si>
    <t>do modelu dynamicznego</t>
  </si>
  <si>
    <t>M_do35</t>
  </si>
  <si>
    <t>M_35-50</t>
  </si>
  <si>
    <t>M_50-80</t>
  </si>
  <si>
    <t>Wsk_cen</t>
  </si>
  <si>
    <t>Bezr</t>
  </si>
  <si>
    <t>W</t>
  </si>
  <si>
    <t>Cena</t>
  </si>
  <si>
    <t xml:space="preserve"> </t>
  </si>
  <si>
    <t xml:space="preserve">Cena prognozowana </t>
  </si>
  <si>
    <t>do 35m2</t>
  </si>
  <si>
    <t>Gdansk</t>
  </si>
  <si>
    <t>Wroclaw</t>
  </si>
  <si>
    <t>Krakow</t>
  </si>
  <si>
    <t>Warszawa</t>
  </si>
  <si>
    <t>Kowariancja ocen</t>
  </si>
  <si>
    <t>Zmienna</t>
  </si>
  <si>
    <t>Intercept</t>
  </si>
  <si>
    <t>X_T</t>
  </si>
  <si>
    <t>X_T^T</t>
  </si>
  <si>
    <t>X_T^T*kowari</t>
  </si>
  <si>
    <t>X_T^T*kowar*X_T</t>
  </si>
  <si>
    <t>X_T^T*kowar*X_T+sigma^2</t>
  </si>
  <si>
    <t>sigma^2</t>
  </si>
  <si>
    <t>pierw</t>
  </si>
  <si>
    <t>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</si>
</sst>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z_ł_-;\-* #,##0.00\ _z_ł_-;_-* &quot;-&quot;??\ _z_ł_-;_-@_-"/>
    <numFmt numFmtId="164" formatCode="0.000"/>
  </numFmts>
  <fonts count="3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1"/>
      <name val="Calibri"/>
      <family val="2"/>
      <charset val="238"/>
    </font>
    <font>
      <sz val="8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sz val="11"/>
      <color rgb="FF9C0006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112277"/>
      <name val="Arial"/>
      <family val="2"/>
      <charset val="238"/>
    </font>
    <font>
      <b/>
      <sz val="10"/>
      <color rgb="FF000000"/>
      <name val="Arial"/>
      <family val="2"/>
      <charset val="238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3D3D3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medium">
        <color rgb="FFC1C1C1"/>
      </left>
      <right/>
      <top style="medium">
        <color rgb="FFC1C1C1"/>
      </top>
      <bottom style="medium">
        <color rgb="FFB0B7BB"/>
      </bottom>
      <diagonal/>
    </border>
    <border>
      <left/>
      <right/>
      <top style="medium">
        <color rgb="FFC1C1C1"/>
      </top>
      <bottom style="medium">
        <color rgb="FFB0B7BB"/>
      </bottom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/>
      <bottom/>
      <diagonal/>
    </border>
    <border>
      <left/>
      <right style="medium">
        <color rgb="FFC1C1C1"/>
      </right>
      <top/>
      <bottom/>
      <diagonal/>
    </border>
  </borders>
  <cellStyleXfs count="100">
    <xf numFmtId="0" fontId="0" fillId="0" borderId="0"/>
    <xf numFmtId="0" fontId="3" fillId="0" borderId="0"/>
    <xf numFmtId="0" fontId="3" fillId="0" borderId="0"/>
    <xf numFmtId="0" fontId="2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5" fillId="0" borderId="1"/>
    <xf numFmtId="0" fontId="8" fillId="26" borderId="2" applyNumberFormat="0" applyAlignment="0" applyProtection="0"/>
    <xf numFmtId="0" fontId="9" fillId="27" borderId="3" applyNumberFormat="0" applyAlignment="0" applyProtection="0"/>
    <xf numFmtId="0" fontId="10" fillId="28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29" borderId="4">
      <alignment horizontal="left" vertical="center" wrapText="1"/>
    </xf>
    <xf numFmtId="0" fontId="12" fillId="29" borderId="4">
      <alignment horizontal="left" vertical="center" wrapText="1"/>
    </xf>
    <xf numFmtId="0" fontId="13" fillId="0" borderId="5" applyNumberFormat="0" applyFill="0" applyAlignment="0" applyProtection="0"/>
    <xf numFmtId="0" fontId="14" fillId="30" borderId="6" applyNumberFormat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31" borderId="0" applyNumberFormat="0" applyBorder="0" applyAlignment="0" applyProtection="0"/>
    <xf numFmtId="0" fontId="1" fillId="0" borderId="0"/>
    <xf numFmtId="0" fontId="2" fillId="0" borderId="0"/>
    <xf numFmtId="0" fontId="3" fillId="0" borderId="0"/>
    <xf numFmtId="0" fontId="6" fillId="0" borderId="0"/>
    <xf numFmtId="0" fontId="2" fillId="0" borderId="0"/>
    <xf numFmtId="0" fontId="19" fillId="0" borderId="0"/>
    <xf numFmtId="0" fontId="3" fillId="0" borderId="0"/>
    <xf numFmtId="0" fontId="6" fillId="0" borderId="0"/>
    <xf numFmtId="0" fontId="6" fillId="0" borderId="0"/>
    <xf numFmtId="0" fontId="4" fillId="0" borderId="0"/>
    <xf numFmtId="0" fontId="20" fillId="27" borderId="2" applyNumberFormat="0" applyAlignment="0" applyProtection="0"/>
    <xf numFmtId="9" fontId="6" fillId="0" borderId="0" applyFon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32" borderId="11" applyNumberFormat="0" applyFont="0" applyAlignment="0" applyProtection="0"/>
    <xf numFmtId="0" fontId="6" fillId="32" borderId="11" applyNumberFormat="0" applyFont="0" applyAlignment="0" applyProtection="0"/>
    <xf numFmtId="0" fontId="6" fillId="32" borderId="11" applyNumberFormat="0" applyFont="0" applyAlignment="0" applyProtection="0"/>
    <xf numFmtId="0" fontId="6" fillId="32" borderId="11" applyNumberFormat="0" applyFont="0" applyAlignment="0" applyProtection="0"/>
    <xf numFmtId="0" fontId="25" fillId="33" borderId="0" applyNumberFormat="0" applyBorder="0" applyAlignment="0" applyProtection="0"/>
  </cellStyleXfs>
  <cellXfs count="73">
    <xf numFmtId="0" fontId="0" fillId="0" borderId="0" xfId="0"/>
    <xf numFmtId="0" fontId="0" fillId="0" borderId="0" xfId="0" applyFont="1" applyAlignment="1">
      <alignment horizontal="center"/>
    </xf>
    <xf numFmtId="0" fontId="0" fillId="0" borderId="12" xfId="0" applyFont="1" applyBorder="1" applyAlignment="1">
      <alignment horizontal="center"/>
    </xf>
    <xf numFmtId="2" fontId="26" fillId="0" borderId="12" xfId="79" applyNumberFormat="1" applyFont="1" applyBorder="1" applyAlignment="1">
      <alignment horizontal="center"/>
    </xf>
    <xf numFmtId="0" fontId="0" fillId="34" borderId="0" xfId="0" applyFont="1" applyFill="1" applyAlignment="1">
      <alignment horizontal="center"/>
    </xf>
    <xf numFmtId="0" fontId="21" fillId="0" borderId="12" xfId="0" applyFont="1" applyBorder="1" applyAlignment="1">
      <alignment horizontal="center"/>
    </xf>
    <xf numFmtId="0" fontId="27" fillId="0" borderId="12" xfId="88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0" fillId="34" borderId="0" xfId="0" applyFont="1" applyFill="1" applyAlignment="1">
      <alignment horizontal="left"/>
    </xf>
    <xf numFmtId="0" fontId="26" fillId="34" borderId="0" xfId="79" applyNumberFormat="1" applyFont="1" applyFill="1" applyAlignment="1">
      <alignment horizontal="left"/>
    </xf>
    <xf numFmtId="0" fontId="21" fillId="0" borderId="12" xfId="0" applyFont="1" applyBorder="1" applyAlignment="1">
      <alignment horizontal="center" wrapText="1"/>
    </xf>
    <xf numFmtId="0" fontId="21" fillId="0" borderId="13" xfId="0" applyFont="1" applyBorder="1" applyAlignment="1"/>
    <xf numFmtId="0" fontId="27" fillId="0" borderId="12" xfId="79" applyNumberFormat="1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2" fontId="0" fillId="0" borderId="12" xfId="0" applyNumberFormat="1" applyFont="1" applyBorder="1" applyAlignment="1">
      <alignment horizontal="center"/>
    </xf>
    <xf numFmtId="2" fontId="26" fillId="0" borderId="12" xfId="88" applyNumberFormat="1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2" fontId="6" fillId="0" borderId="12" xfId="90" applyNumberFormat="1" applyFont="1" applyBorder="1" applyAlignment="1">
      <alignment horizontal="center"/>
    </xf>
    <xf numFmtId="2" fontId="0" fillId="0" borderId="12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6" fillId="0" borderId="0" xfId="79" applyNumberFormat="1" applyFont="1" applyBorder="1" applyAlignment="1">
      <alignment horizontal="center"/>
    </xf>
    <xf numFmtId="2" fontId="26" fillId="0" borderId="0" xfId="88" applyNumberFormat="1" applyFont="1" applyBorder="1" applyAlignment="1">
      <alignment horizontal="center"/>
    </xf>
    <xf numFmtId="0" fontId="27" fillId="0" borderId="14" xfId="88" applyFont="1" applyBorder="1" applyAlignment="1">
      <alignment horizontal="center" wrapText="1"/>
    </xf>
    <xf numFmtId="2" fontId="26" fillId="0" borderId="14" xfId="88" applyNumberFormat="1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2" fontId="21" fillId="0" borderId="12" xfId="0" applyNumberFormat="1" applyFont="1" applyBorder="1" applyAlignment="1">
      <alignment horizontal="center"/>
    </xf>
    <xf numFmtId="2" fontId="0" fillId="0" borderId="12" xfId="0" applyNumberFormat="1" applyFont="1" applyFill="1" applyBorder="1" applyAlignment="1">
      <alignment horizontal="center"/>
    </xf>
    <xf numFmtId="2" fontId="0" fillId="0" borderId="0" xfId="0" applyNumberFormat="1"/>
    <xf numFmtId="0" fontId="21" fillId="0" borderId="0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 wrapText="1"/>
    </xf>
    <xf numFmtId="164" fontId="26" fillId="0" borderId="12" xfId="79" applyNumberFormat="1" applyFont="1" applyBorder="1" applyAlignment="1">
      <alignment horizontal="center"/>
    </xf>
    <xf numFmtId="0" fontId="21" fillId="35" borderId="12" xfId="0" applyFont="1" applyFill="1" applyBorder="1" applyAlignment="1">
      <alignment horizontal="center" wrapText="1"/>
    </xf>
    <xf numFmtId="0" fontId="27" fillId="35" borderId="14" xfId="88" applyFont="1" applyFill="1" applyBorder="1" applyAlignment="1">
      <alignment horizontal="center" wrapText="1"/>
    </xf>
    <xf numFmtId="0" fontId="21" fillId="0" borderId="0" xfId="0" applyFont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2" fontId="0" fillId="0" borderId="14" xfId="0" applyNumberFormat="1" applyFont="1" applyBorder="1" applyAlignment="1">
      <alignment horizontal="center"/>
    </xf>
    <xf numFmtId="0" fontId="0" fillId="34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1" fillId="0" borderId="12" xfId="0" applyFont="1" applyBorder="1" applyAlignment="1"/>
    <xf numFmtId="0" fontId="27" fillId="35" borderId="12" xfId="88" applyFont="1" applyFill="1" applyBorder="1" applyAlignment="1">
      <alignment horizontal="center" wrapText="1"/>
    </xf>
    <xf numFmtId="164" fontId="0" fillId="0" borderId="12" xfId="0" applyNumberFormat="1" applyFill="1" applyBorder="1"/>
    <xf numFmtId="164" fontId="26" fillId="0" borderId="13" xfId="79" applyNumberFormat="1" applyFont="1" applyBorder="1" applyAlignment="1">
      <alignment horizontal="center"/>
    </xf>
    <xf numFmtId="0" fontId="0" fillId="0" borderId="0" xfId="0" applyFont="1" applyAlignment="1">
      <alignment horizontal="left"/>
    </xf>
    <xf numFmtId="164" fontId="26" fillId="0" borderId="12" xfId="88" applyNumberFormat="1" applyFont="1" applyBorder="1" applyAlignment="1">
      <alignment horizontal="center"/>
    </xf>
    <xf numFmtId="1" fontId="0" fillId="0" borderId="12" xfId="0" applyNumberFormat="1" applyFont="1" applyBorder="1" applyAlignment="1">
      <alignment horizontal="center"/>
    </xf>
    <xf numFmtId="2" fontId="27" fillId="0" borderId="12" xfId="88" applyNumberFormat="1" applyFont="1" applyBorder="1" applyAlignment="1">
      <alignment horizontal="center" wrapText="1"/>
    </xf>
    <xf numFmtId="0" fontId="28" fillId="0" borderId="0" xfId="0" applyFont="1" applyAlignment="1">
      <alignment horizontal="justify" vertical="center"/>
    </xf>
    <xf numFmtId="0" fontId="28" fillId="0" borderId="0" xfId="0" applyFont="1"/>
    <xf numFmtId="164" fontId="26" fillId="0" borderId="0" xfId="79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4" fontId="26" fillId="0" borderId="0" xfId="88" applyNumberFormat="1" applyFont="1" applyBorder="1" applyAlignment="1">
      <alignment horizontal="center"/>
    </xf>
    <xf numFmtId="0" fontId="30" fillId="36" borderId="15" xfId="0" applyFont="1" applyFill="1" applyBorder="1" applyAlignment="1">
      <alignment horizontal="right" wrapText="1"/>
    </xf>
    <xf numFmtId="0" fontId="29" fillId="37" borderId="17" xfId="0" applyFont="1" applyFill="1" applyBorder="1" applyAlignment="1">
      <alignment horizontal="right" vertical="center"/>
    </xf>
    <xf numFmtId="0" fontId="30" fillId="36" borderId="20" xfId="0" applyFont="1" applyFill="1" applyBorder="1" applyAlignment="1">
      <alignment horizontal="left" wrapText="1"/>
    </xf>
    <xf numFmtId="0" fontId="30" fillId="36" borderId="16" xfId="0" applyFont="1" applyFill="1" applyBorder="1" applyAlignment="1">
      <alignment horizontal="right" wrapText="1"/>
    </xf>
    <xf numFmtId="0" fontId="31" fillId="36" borderId="20" xfId="0" applyFont="1" applyFill="1" applyBorder="1" applyAlignment="1">
      <alignment horizontal="left" vertical="center"/>
    </xf>
    <xf numFmtId="0" fontId="29" fillId="37" borderId="21" xfId="0" applyFont="1" applyFill="1" applyBorder="1" applyAlignment="1">
      <alignment horizontal="right" vertical="center"/>
    </xf>
    <xf numFmtId="0" fontId="31" fillId="36" borderId="22" xfId="0" applyFont="1" applyFill="1" applyBorder="1" applyAlignment="1">
      <alignment horizontal="left" vertical="center"/>
    </xf>
    <xf numFmtId="0" fontId="29" fillId="37" borderId="23" xfId="0" applyFont="1" applyFill="1" applyBorder="1" applyAlignment="1">
      <alignment horizontal="right" vertical="center"/>
    </xf>
    <xf numFmtId="0" fontId="29" fillId="37" borderId="0" xfId="0" applyFont="1" applyFill="1" applyBorder="1" applyAlignment="1">
      <alignment horizontal="right" vertical="center"/>
    </xf>
    <xf numFmtId="0" fontId="31" fillId="36" borderId="0" xfId="0" applyFont="1" applyFill="1" applyBorder="1" applyAlignment="1">
      <alignment horizontal="left" vertical="center"/>
    </xf>
    <xf numFmtId="0" fontId="30" fillId="36" borderId="18" xfId="0" applyFont="1" applyFill="1" applyBorder="1" applyAlignment="1">
      <alignment horizontal="center" wrapText="1"/>
    </xf>
    <xf numFmtId="0" fontId="30" fillId="36" borderId="19" xfId="0" applyFont="1" applyFill="1" applyBorder="1" applyAlignment="1">
      <alignment horizontal="center" wrapText="1"/>
    </xf>
    <xf numFmtId="0" fontId="0" fillId="0" borderId="1" xfId="0" applyBorder="1"/>
  </cellXfs>
  <cellStyles count="100">
    <cellStyle name="[StdExit()]" xfId="1"/>
    <cellStyle name="[StdExit()] 2" xfId="2"/>
    <cellStyle name="[StdExit()] 2 2" xfId="3"/>
    <cellStyle name="20% - akcent 1" xfId="4" builtinId="30" customBuiltin="1"/>
    <cellStyle name="20% - akcent 1 2" xfId="5"/>
    <cellStyle name="20% — akcent 1 2" xfId="6"/>
    <cellStyle name="20% — akcent 1 3" xfId="7"/>
    <cellStyle name="20% - akcent 2" xfId="8" builtinId="34" customBuiltin="1"/>
    <cellStyle name="20% - akcent 2 2" xfId="9"/>
    <cellStyle name="20% — akcent 2 2" xfId="10"/>
    <cellStyle name="20% — akcent 2 3" xfId="11"/>
    <cellStyle name="20% - akcent 3" xfId="12" builtinId="38" customBuiltin="1"/>
    <cellStyle name="20% - akcent 3 2" xfId="13"/>
    <cellStyle name="20% — akcent 3 2" xfId="14"/>
    <cellStyle name="20% — akcent 3 3" xfId="15"/>
    <cellStyle name="20% - akcent 4" xfId="16" builtinId="42" customBuiltin="1"/>
    <cellStyle name="20% - akcent 4 2" xfId="17"/>
    <cellStyle name="20% — akcent 4 2" xfId="18"/>
    <cellStyle name="20% — akcent 4 3" xfId="19"/>
    <cellStyle name="20% - akcent 5" xfId="20" builtinId="46" customBuiltin="1"/>
    <cellStyle name="20% - akcent 5 2" xfId="21"/>
    <cellStyle name="20% — akcent 5 2" xfId="22"/>
    <cellStyle name="20% — akcent 5 3" xfId="23"/>
    <cellStyle name="20% - akcent 6" xfId="24" builtinId="50" customBuiltin="1"/>
    <cellStyle name="20% - akcent 6 2" xfId="25"/>
    <cellStyle name="20% — akcent 6 2" xfId="26"/>
    <cellStyle name="20% — akcent 6 3" xfId="27"/>
    <cellStyle name="40% - akcent 1" xfId="28" builtinId="31" customBuiltin="1"/>
    <cellStyle name="40% - akcent 1 2" xfId="29"/>
    <cellStyle name="40% — akcent 1 2" xfId="30"/>
    <cellStyle name="40% — akcent 1 3" xfId="31"/>
    <cellStyle name="40% - akcent 2" xfId="32" builtinId="35" customBuiltin="1"/>
    <cellStyle name="40% - akcent 2 2" xfId="33"/>
    <cellStyle name="40% — akcent 2 2" xfId="34"/>
    <cellStyle name="40% — akcent 2 3" xfId="35"/>
    <cellStyle name="40% - akcent 3" xfId="36" builtinId="39" customBuiltin="1"/>
    <cellStyle name="40% - akcent 3 2" xfId="37"/>
    <cellStyle name="40% — akcent 3 2" xfId="38"/>
    <cellStyle name="40% — akcent 3 3" xfId="39"/>
    <cellStyle name="40% - akcent 4" xfId="40" builtinId="43" customBuiltin="1"/>
    <cellStyle name="40% - akcent 4 2" xfId="41"/>
    <cellStyle name="40% — akcent 4 2" xfId="42"/>
    <cellStyle name="40% — akcent 4 3" xfId="43"/>
    <cellStyle name="40% - akcent 5" xfId="44" builtinId="47" customBuiltin="1"/>
    <cellStyle name="40% - akcent 5 2" xfId="45"/>
    <cellStyle name="40% — akcent 5 2" xfId="46"/>
    <cellStyle name="40% — akcent 5 3" xfId="47"/>
    <cellStyle name="40% - akcent 6" xfId="48" builtinId="51" customBuiltin="1"/>
    <cellStyle name="40% - akcent 6 2" xfId="49"/>
    <cellStyle name="40% — akcent 6 2" xfId="50"/>
    <cellStyle name="40% — akcent 6 3" xfId="51"/>
    <cellStyle name="60% - akcent 1" xfId="52" builtinId="32" customBuiltin="1"/>
    <cellStyle name="60% - akcent 2" xfId="53" builtinId="36" customBuiltin="1"/>
    <cellStyle name="60% - akcent 3" xfId="54" builtinId="40" customBuiltin="1"/>
    <cellStyle name="60% - akcent 4" xfId="55" builtinId="44" customBuiltin="1"/>
    <cellStyle name="60% - akcent 5" xfId="56" builtinId="48" customBuiltin="1"/>
    <cellStyle name="60% - akcent 6" xfId="57" builtinId="52" customBuiltin="1"/>
    <cellStyle name="Akcent 1" xfId="58" builtinId="29" customBuiltin="1"/>
    <cellStyle name="Akcent 2" xfId="59" builtinId="33" customBuiltin="1"/>
    <cellStyle name="Akcent 3" xfId="60" builtinId="37" customBuiltin="1"/>
    <cellStyle name="Akcent 4" xfId="61" builtinId="41" customBuiltin="1"/>
    <cellStyle name="Akcent 5" xfId="62" builtinId="45" customBuiltin="1"/>
    <cellStyle name="Akcent 6" xfId="63" builtinId="49" customBuiltin="1"/>
    <cellStyle name="cell" xfId="64"/>
    <cellStyle name="Dane wejściowe" xfId="65" builtinId="20" customBuiltin="1"/>
    <cellStyle name="Dane wyjściowe" xfId="66" builtinId="21" customBuiltin="1"/>
    <cellStyle name="Dobre" xfId="67" builtinId="26" customBuiltin="1"/>
    <cellStyle name="Dziesiętny 2" xfId="68"/>
    <cellStyle name="Dziesiętny 3" xfId="69"/>
    <cellStyle name="Kolumna" xfId="70"/>
    <cellStyle name="Kolumna 2" xfId="71"/>
    <cellStyle name="Komórka połączona" xfId="72" builtinId="24" customBuiltin="1"/>
    <cellStyle name="Komórka zaznaczona" xfId="73" builtinId="23" customBuiltin="1"/>
    <cellStyle name="Nagłówek 1" xfId="74" builtinId="16" customBuiltin="1"/>
    <cellStyle name="Nagłówek 2" xfId="75" builtinId="17" customBuiltin="1"/>
    <cellStyle name="Nagłówek 3" xfId="76" builtinId="18" customBuiltin="1"/>
    <cellStyle name="Nagłówek 4" xfId="77" builtinId="19" customBuiltin="1"/>
    <cellStyle name="Neutralne" xfId="78" builtinId="28" customBuiltin="1"/>
    <cellStyle name="Normalny" xfId="0" builtinId="0"/>
    <cellStyle name="Normalny 2" xfId="79"/>
    <cellStyle name="Normalny 2 2" xfId="80"/>
    <cellStyle name="Normalny 2 2 2" xfId="81"/>
    <cellStyle name="Normalny 2 3" xfId="82"/>
    <cellStyle name="Normalny 3" xfId="83"/>
    <cellStyle name="Normalny 3 2" xfId="84"/>
    <cellStyle name="Normalny 4" xfId="85"/>
    <cellStyle name="Normalny 5" xfId="86"/>
    <cellStyle name="Normalny 6" xfId="87"/>
    <cellStyle name="Normalny 7" xfId="88"/>
    <cellStyle name="Obliczenia" xfId="89" builtinId="22" customBuiltin="1"/>
    <cellStyle name="Procentowy" xfId="90" builtinId="5"/>
    <cellStyle name="Suma" xfId="91" builtinId="25" customBuiltin="1"/>
    <cellStyle name="Tekst objaśnienia" xfId="92" builtinId="53" customBuiltin="1"/>
    <cellStyle name="Tekst ostrzeżenia" xfId="93" builtinId="11" customBuiltin="1"/>
    <cellStyle name="Tytuł 2" xfId="94"/>
    <cellStyle name="Uwaga 2" xfId="95"/>
    <cellStyle name="Uwaga 3" xfId="96"/>
    <cellStyle name="Uwaga 4" xfId="97"/>
    <cellStyle name="Uwaga 5" xfId="98"/>
    <cellStyle name="Złe" xfId="99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1223818</xdr:colOff>
      <xdr:row>27</xdr:row>
      <xdr:rowOff>5773</xdr:rowOff>
    </xdr:from>
    <xdr:to>
      <xdr:col>26</xdr:col>
      <xdr:colOff>673389</xdr:colOff>
      <xdr:row>28</xdr:row>
      <xdr:rowOff>34348</xdr:rowOff>
    </xdr:to>
    <xdr:pic>
      <xdr:nvPicPr>
        <xdr:cNvPr id="3" name="Obraz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90204" y="6474114"/>
          <a:ext cx="4593071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17318</xdr:colOff>
      <xdr:row>30</xdr:row>
      <xdr:rowOff>8658</xdr:rowOff>
    </xdr:from>
    <xdr:to>
      <xdr:col>25</xdr:col>
      <xdr:colOff>817418</xdr:colOff>
      <xdr:row>31</xdr:row>
      <xdr:rowOff>37233</xdr:rowOff>
    </xdr:to>
    <xdr:pic>
      <xdr:nvPicPr>
        <xdr:cNvPr id="4" name="Obraz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0613" y="7048499"/>
          <a:ext cx="3397828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8659</xdr:colOff>
      <xdr:row>33</xdr:row>
      <xdr:rowOff>8659</xdr:rowOff>
    </xdr:from>
    <xdr:to>
      <xdr:col>26</xdr:col>
      <xdr:colOff>408709</xdr:colOff>
      <xdr:row>34</xdr:row>
      <xdr:rowOff>37234</xdr:rowOff>
    </xdr:to>
    <xdr:pic>
      <xdr:nvPicPr>
        <xdr:cNvPr id="5" name="Obraz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1954" y="7620000"/>
          <a:ext cx="4296641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0</xdr:colOff>
      <xdr:row>36</xdr:row>
      <xdr:rowOff>0</xdr:rowOff>
    </xdr:from>
    <xdr:to>
      <xdr:col>27</xdr:col>
      <xdr:colOff>485775</xdr:colOff>
      <xdr:row>37</xdr:row>
      <xdr:rowOff>28575</xdr:rowOff>
    </xdr:to>
    <xdr:pic>
      <xdr:nvPicPr>
        <xdr:cNvPr id="6" name="Obraz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8181975"/>
          <a:ext cx="52768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X275"/>
  <sheetViews>
    <sheetView tabSelected="1" topLeftCell="F13" zoomScale="40" zoomScaleNormal="40" workbookViewId="0">
      <selection activeCell="X27" sqref="X27"/>
    </sheetView>
  </sheetViews>
  <sheetFormatPr defaultRowHeight="15" x14ac:dyDescent="0.25"/>
  <cols>
    <col min="1" max="1" width="9.140625" style="1"/>
    <col min="2" max="2" width="8.5703125" style="1" customWidth="1"/>
    <col min="3" max="3" width="19.42578125" style="1" customWidth="1"/>
    <col min="4" max="4" width="20" style="1" customWidth="1"/>
    <col min="5" max="5" width="20.140625" style="1" customWidth="1"/>
    <col min="6" max="6" width="16.42578125" style="1" customWidth="1"/>
    <col min="7" max="8" width="17.140625" style="1" customWidth="1"/>
    <col min="9" max="9" width="18" style="1" customWidth="1"/>
    <col min="10" max="10" width="19.85546875" style="1" customWidth="1"/>
    <col min="11" max="11" width="18.7109375" style="1" customWidth="1"/>
    <col min="12" max="12" width="18.28515625" style="1" customWidth="1"/>
    <col min="13" max="13" width="19.140625" style="1" customWidth="1"/>
    <col min="14" max="14" width="17.28515625" style="1" customWidth="1"/>
    <col min="15" max="16" width="17.7109375" style="1" customWidth="1"/>
    <col min="17" max="17" width="18.28515625" style="1" customWidth="1"/>
    <col min="18" max="18" width="17.5703125" style="1" customWidth="1"/>
    <col min="19" max="20" width="18.140625" style="1" customWidth="1"/>
    <col min="21" max="21" width="17" style="1" customWidth="1"/>
    <col min="22" max="22" width="18" style="1" customWidth="1"/>
    <col min="23" max="23" width="18.7109375" style="1" customWidth="1"/>
    <col min="24" max="26" width="19.42578125" style="1" customWidth="1"/>
    <col min="27" max="27" width="13.5703125" style="1" customWidth="1"/>
    <col min="28" max="28" width="12" style="1" customWidth="1"/>
    <col min="29" max="29" width="17.42578125" style="1" customWidth="1"/>
    <col min="30" max="30" width="14" style="1" customWidth="1"/>
    <col min="31" max="31" width="14" style="46" customWidth="1"/>
    <col min="32" max="32" width="9.140625" style="1"/>
    <col min="33" max="33" width="12.7109375" style="17" customWidth="1"/>
    <col min="34" max="34" width="13.42578125" style="1" customWidth="1"/>
    <col min="35" max="36" width="14.140625" style="1" customWidth="1"/>
    <col min="37" max="37" width="13.85546875" style="1" customWidth="1"/>
    <col min="38" max="38" width="9.140625" style="1"/>
    <col min="39" max="39" width="10.5703125" style="1" customWidth="1"/>
    <col min="41" max="46" width="9.140625" style="1"/>
    <col min="47" max="47" width="11.7109375" style="1" customWidth="1"/>
    <col min="48" max="48" width="9.140625" style="1"/>
    <col min="49" max="49" width="10.42578125" style="1" bestFit="1" customWidth="1"/>
    <col min="50" max="16384" width="9.140625" style="1"/>
  </cols>
  <sheetData>
    <row r="2" spans="2:50" s="4" customFormat="1" ht="14.25" customHeight="1" x14ac:dyDescent="0.25">
      <c r="B2" s="8" t="s">
        <v>0</v>
      </c>
      <c r="AE2" s="45"/>
      <c r="AF2" s="8" t="s">
        <v>0</v>
      </c>
      <c r="AG2" s="8" t="s">
        <v>0</v>
      </c>
    </row>
    <row r="3" spans="2:50" ht="105" x14ac:dyDescent="0.25">
      <c r="B3" s="11" t="s">
        <v>25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94</v>
      </c>
      <c r="H3" s="21"/>
      <c r="I3" s="20" t="s">
        <v>95</v>
      </c>
      <c r="J3" s="12" t="s">
        <v>96</v>
      </c>
      <c r="K3" s="12" t="s">
        <v>97</v>
      </c>
      <c r="L3" s="12" t="s">
        <v>98</v>
      </c>
      <c r="M3" s="20" t="s">
        <v>99</v>
      </c>
      <c r="N3" s="20" t="s">
        <v>100</v>
      </c>
      <c r="O3" s="20" t="s">
        <v>101</v>
      </c>
      <c r="P3" s="35"/>
      <c r="Q3" s="20" t="s">
        <v>106</v>
      </c>
      <c r="R3" s="20" t="s">
        <v>105</v>
      </c>
      <c r="S3" s="20" t="s">
        <v>104</v>
      </c>
      <c r="T3" s="23"/>
      <c r="U3" s="20" t="s">
        <v>103</v>
      </c>
      <c r="V3" s="20" t="s">
        <v>102</v>
      </c>
      <c r="W3" s="22"/>
      <c r="X3" s="20" t="s">
        <v>24</v>
      </c>
      <c r="Y3" s="35" t="s">
        <v>132</v>
      </c>
      <c r="Z3" s="35"/>
      <c r="AA3" s="20" t="s">
        <v>20</v>
      </c>
      <c r="AB3" s="20" t="s">
        <v>21</v>
      </c>
      <c r="AC3" s="28" t="s">
        <v>22</v>
      </c>
      <c r="AD3" s="35" t="s">
        <v>23</v>
      </c>
      <c r="AE3" s="34"/>
      <c r="AF3" s="51" t="s">
        <v>138</v>
      </c>
      <c r="AM3" s="17"/>
      <c r="AP3" s="51" t="s">
        <v>139</v>
      </c>
    </row>
    <row r="4" spans="2:50" ht="30" x14ac:dyDescent="0.25">
      <c r="B4" s="11" t="s">
        <v>107</v>
      </c>
      <c r="C4" s="13" t="s">
        <v>128</v>
      </c>
      <c r="D4" s="10" t="s">
        <v>122</v>
      </c>
      <c r="E4" s="14" t="s">
        <v>123</v>
      </c>
      <c r="F4" s="14" t="s">
        <v>124</v>
      </c>
      <c r="G4" s="14" t="s">
        <v>125</v>
      </c>
      <c r="H4" s="39" t="s">
        <v>130</v>
      </c>
      <c r="I4" s="10" t="s">
        <v>110</v>
      </c>
      <c r="J4" s="12" t="s">
        <v>108</v>
      </c>
      <c r="K4" s="12" t="s">
        <v>109</v>
      </c>
      <c r="L4" s="12" t="s">
        <v>111</v>
      </c>
      <c r="M4" s="39" t="s">
        <v>112</v>
      </c>
      <c r="N4" s="10" t="s">
        <v>113</v>
      </c>
      <c r="O4" s="10" t="s">
        <v>114</v>
      </c>
      <c r="P4" s="39" t="s">
        <v>135</v>
      </c>
      <c r="Q4" s="10" t="s">
        <v>115</v>
      </c>
      <c r="R4" s="10" t="s">
        <v>116</v>
      </c>
      <c r="S4" s="10" t="s">
        <v>117</v>
      </c>
      <c r="T4" s="39" t="s">
        <v>136</v>
      </c>
      <c r="U4" s="10" t="s">
        <v>118</v>
      </c>
      <c r="V4" s="10" t="s">
        <v>119</v>
      </c>
      <c r="W4" s="39" t="s">
        <v>131</v>
      </c>
      <c r="X4" s="10" t="s">
        <v>120</v>
      </c>
      <c r="Y4" s="35" t="s">
        <v>133</v>
      </c>
      <c r="Z4" s="39" t="s">
        <v>134</v>
      </c>
      <c r="AA4" s="39" t="s">
        <v>121</v>
      </c>
      <c r="AB4" s="39" t="s">
        <v>129</v>
      </c>
      <c r="AC4" s="40" t="s">
        <v>127</v>
      </c>
      <c r="AD4" s="35" t="s">
        <v>126</v>
      </c>
      <c r="AE4" s="34"/>
      <c r="AF4" s="47" t="s">
        <v>107</v>
      </c>
      <c r="AG4" s="31" t="s">
        <v>146</v>
      </c>
      <c r="AH4" s="36" t="s">
        <v>140</v>
      </c>
      <c r="AI4" s="36" t="s">
        <v>141</v>
      </c>
      <c r="AJ4" s="36" t="s">
        <v>142</v>
      </c>
      <c r="AK4" s="35" t="s">
        <v>143</v>
      </c>
      <c r="AL4" s="35" t="s">
        <v>144</v>
      </c>
      <c r="AM4" s="54" t="s">
        <v>145</v>
      </c>
      <c r="AN4" s="31" t="s">
        <v>137</v>
      </c>
      <c r="AP4" s="47" t="s">
        <v>107</v>
      </c>
      <c r="AQ4" s="31" t="s">
        <v>146</v>
      </c>
      <c r="AR4" s="36" t="s">
        <v>140</v>
      </c>
      <c r="AS4" s="36" t="s">
        <v>141</v>
      </c>
      <c r="AT4" s="36" t="s">
        <v>142</v>
      </c>
      <c r="AU4" s="35" t="s">
        <v>143</v>
      </c>
      <c r="AV4" s="35" t="s">
        <v>144</v>
      </c>
      <c r="AW4" s="6" t="s">
        <v>145</v>
      </c>
      <c r="AX4" s="31" t="s">
        <v>137</v>
      </c>
    </row>
    <row r="5" spans="2:50" x14ac:dyDescent="0.25">
      <c r="B5" s="5" t="s">
        <v>4</v>
      </c>
      <c r="C5" s="3">
        <v>4086</v>
      </c>
      <c r="D5" s="3">
        <v>3819</v>
      </c>
      <c r="E5" s="3">
        <v>4324</v>
      </c>
      <c r="F5" s="15">
        <v>5166.4162629776329</v>
      </c>
      <c r="G5" s="15">
        <v>5950.9241683725058</v>
      </c>
      <c r="H5" s="15">
        <f xml:space="preserve"> AVERAGE(F5,G5)</f>
        <v>5558.6702156750689</v>
      </c>
      <c r="I5" s="3">
        <v>4161</v>
      </c>
      <c r="J5" s="3">
        <v>4031</v>
      </c>
      <c r="K5" s="3">
        <v>4081</v>
      </c>
      <c r="L5" s="3">
        <v>4267</v>
      </c>
      <c r="M5" s="15">
        <v>5730.95</v>
      </c>
      <c r="N5" s="15">
        <v>5254.28</v>
      </c>
      <c r="O5" s="15">
        <v>5601.99</v>
      </c>
      <c r="P5" s="15">
        <f t="shared" ref="P5:P20" si="0">AVERAGE(N5,O5)</f>
        <v>5428.1350000000002</v>
      </c>
      <c r="Q5" s="15">
        <v>5446.37</v>
      </c>
      <c r="R5" s="15">
        <v>5334.82</v>
      </c>
      <c r="S5" s="15">
        <v>5680.86</v>
      </c>
      <c r="T5" s="15">
        <f>AVERAGE(Q5,R5,S5)</f>
        <v>5487.3499999999995</v>
      </c>
      <c r="U5" s="15">
        <v>6094.91</v>
      </c>
      <c r="V5" s="15">
        <v>5999.68</v>
      </c>
      <c r="W5" s="15">
        <f>AVERAGE(U5,V5)</f>
        <v>6047.2950000000001</v>
      </c>
      <c r="X5" s="3">
        <v>99.6</v>
      </c>
      <c r="Y5" s="38">
        <f>X5/100</f>
        <v>0.996</v>
      </c>
      <c r="Z5" s="38">
        <v>100</v>
      </c>
      <c r="AA5" s="3">
        <v>5.7333333333333334</v>
      </c>
      <c r="AB5" s="16">
        <v>272</v>
      </c>
      <c r="AC5" s="29">
        <v>4376.7700000000004</v>
      </c>
      <c r="AD5" s="15"/>
      <c r="AE5" s="25"/>
      <c r="AF5" s="36" t="s">
        <v>4</v>
      </c>
      <c r="AG5" s="15">
        <v>5730.95</v>
      </c>
      <c r="AH5" s="2">
        <v>1</v>
      </c>
      <c r="AI5" s="2">
        <v>0</v>
      </c>
      <c r="AJ5" s="2">
        <v>0</v>
      </c>
      <c r="AK5" s="49">
        <v>100</v>
      </c>
      <c r="AL5" s="38">
        <v>5.7333333333333334</v>
      </c>
      <c r="AM5" s="16">
        <v>4376.7700000000004</v>
      </c>
      <c r="AP5" s="36" t="s">
        <v>5</v>
      </c>
      <c r="AQ5" s="15">
        <v>5695.75</v>
      </c>
      <c r="AR5" s="2">
        <v>1</v>
      </c>
      <c r="AS5" s="2">
        <v>0</v>
      </c>
      <c r="AT5" s="2">
        <v>0</v>
      </c>
      <c r="AU5" s="49">
        <v>100.6</v>
      </c>
      <c r="AV5" s="38">
        <v>5.333333333333333</v>
      </c>
      <c r="AW5" s="16">
        <v>4128.8900000000003</v>
      </c>
      <c r="AX5" s="15">
        <v>5730.95</v>
      </c>
    </row>
    <row r="6" spans="2:50" x14ac:dyDescent="0.25">
      <c r="B6" s="5" t="s">
        <v>5</v>
      </c>
      <c r="C6" s="3">
        <v>3992</v>
      </c>
      <c r="D6" s="3">
        <v>3639</v>
      </c>
      <c r="E6" s="3">
        <v>4192</v>
      </c>
      <c r="F6" s="15">
        <v>5112.6959512519334</v>
      </c>
      <c r="G6" s="15">
        <v>5749.0184273129289</v>
      </c>
      <c r="H6" s="15">
        <f t="shared" ref="H6:H19" si="1" xml:space="preserve"> AVERAGE(F6,G6)</f>
        <v>5430.8571892824311</v>
      </c>
      <c r="I6" s="3">
        <v>4212</v>
      </c>
      <c r="J6" s="3">
        <v>3991</v>
      </c>
      <c r="K6" s="3">
        <v>3864</v>
      </c>
      <c r="L6" s="3">
        <v>4018</v>
      </c>
      <c r="M6" s="15">
        <v>5695.75</v>
      </c>
      <c r="N6" s="15">
        <v>5035.2299999999996</v>
      </c>
      <c r="O6" s="15">
        <v>5662.51</v>
      </c>
      <c r="P6" s="15">
        <f t="shared" si="0"/>
        <v>5348.87</v>
      </c>
      <c r="Q6" s="15">
        <v>5322.06</v>
      </c>
      <c r="R6" s="15">
        <v>5471.47</v>
      </c>
      <c r="S6" s="15">
        <v>5676.65</v>
      </c>
      <c r="T6" s="15">
        <f t="shared" ref="T6:T20" si="2">AVERAGE(Q6,R6,S6)</f>
        <v>5490.06</v>
      </c>
      <c r="U6" s="15">
        <v>5650.04</v>
      </c>
      <c r="V6" s="15">
        <v>5799.38</v>
      </c>
      <c r="W6" s="15">
        <f t="shared" ref="W6:W20" si="3">AVERAGE(U6,V6)</f>
        <v>5724.71</v>
      </c>
      <c r="X6" s="3">
        <v>100.6</v>
      </c>
      <c r="Y6" s="38">
        <f t="shared" ref="Y6:Y21" si="4">X6/100</f>
        <v>1.006</v>
      </c>
      <c r="Z6" s="38">
        <f>Y6*Z5</f>
        <v>100.6</v>
      </c>
      <c r="AA6" s="3">
        <v>5.333333333333333</v>
      </c>
      <c r="AB6" s="16">
        <v>182</v>
      </c>
      <c r="AC6" s="29">
        <v>4128.8900000000003</v>
      </c>
      <c r="AD6" s="15">
        <v>-209</v>
      </c>
      <c r="AE6" s="25"/>
      <c r="AF6" s="36" t="s">
        <v>5</v>
      </c>
      <c r="AG6" s="15">
        <v>5695.75</v>
      </c>
      <c r="AH6" s="2">
        <v>1</v>
      </c>
      <c r="AI6" s="2">
        <v>0</v>
      </c>
      <c r="AJ6" s="2">
        <v>0</v>
      </c>
      <c r="AK6" s="49">
        <v>100.6</v>
      </c>
      <c r="AL6" s="38">
        <v>5.333333333333333</v>
      </c>
      <c r="AM6" s="16">
        <v>4128.8900000000003</v>
      </c>
      <c r="AN6" s="15">
        <v>5730.95</v>
      </c>
      <c r="AP6" s="36" t="s">
        <v>6</v>
      </c>
      <c r="AQ6" s="15">
        <v>5617.39</v>
      </c>
      <c r="AR6" s="2">
        <v>1</v>
      </c>
      <c r="AS6" s="2">
        <v>0</v>
      </c>
      <c r="AT6" s="2">
        <v>0</v>
      </c>
      <c r="AU6" s="49">
        <v>100.19759999999999</v>
      </c>
      <c r="AV6" s="38">
        <v>4.666666666666667</v>
      </c>
      <c r="AW6" s="16">
        <v>4193.17</v>
      </c>
      <c r="AX6" s="15">
        <v>5695.75</v>
      </c>
    </row>
    <row r="7" spans="2:50" x14ac:dyDescent="0.25">
      <c r="B7" s="5" t="s">
        <v>6</v>
      </c>
      <c r="C7" s="3">
        <v>4059</v>
      </c>
      <c r="D7" s="3">
        <v>3720</v>
      </c>
      <c r="E7" s="3">
        <v>4181</v>
      </c>
      <c r="F7" s="15">
        <v>5114</v>
      </c>
      <c r="G7" s="15">
        <v>6089.0239013887031</v>
      </c>
      <c r="H7" s="15">
        <f t="shared" si="1"/>
        <v>5601.511950694352</v>
      </c>
      <c r="I7" s="3">
        <v>4223</v>
      </c>
      <c r="J7" s="3">
        <v>4126</v>
      </c>
      <c r="K7" s="3">
        <v>3765</v>
      </c>
      <c r="L7" s="3">
        <v>3982</v>
      </c>
      <c r="M7" s="15">
        <v>5617.39</v>
      </c>
      <c r="N7" s="15">
        <v>5329.61</v>
      </c>
      <c r="O7" s="15">
        <v>5697.62</v>
      </c>
      <c r="P7" s="15">
        <f t="shared" si="0"/>
        <v>5513.6149999999998</v>
      </c>
      <c r="Q7" s="15">
        <v>5413.42</v>
      </c>
      <c r="R7" s="15">
        <v>5437.46</v>
      </c>
      <c r="S7" s="15">
        <v>5477.16</v>
      </c>
      <c r="T7" s="15">
        <f t="shared" si="2"/>
        <v>5442.68</v>
      </c>
      <c r="U7" s="15">
        <v>5836.22</v>
      </c>
      <c r="V7" s="15">
        <v>5517.04</v>
      </c>
      <c r="W7" s="15">
        <f t="shared" si="3"/>
        <v>5676.63</v>
      </c>
      <c r="X7" s="3">
        <v>99.6</v>
      </c>
      <c r="Y7" s="38">
        <f t="shared" si="4"/>
        <v>0.996</v>
      </c>
      <c r="Z7" s="38">
        <f t="shared" ref="Z7:Z21" si="5">Y7*Z6</f>
        <v>100.19759999999999</v>
      </c>
      <c r="AA7" s="3">
        <v>4.666666666666667</v>
      </c>
      <c r="AB7" s="16">
        <v>279</v>
      </c>
      <c r="AC7" s="29">
        <v>4193.17</v>
      </c>
      <c r="AD7" s="15"/>
      <c r="AE7" s="25"/>
      <c r="AF7" s="36" t="s">
        <v>6</v>
      </c>
      <c r="AG7" s="15">
        <v>5617.39</v>
      </c>
      <c r="AH7" s="2">
        <v>1</v>
      </c>
      <c r="AI7" s="2">
        <v>0</v>
      </c>
      <c r="AJ7" s="2">
        <v>0</v>
      </c>
      <c r="AK7" s="49">
        <v>100.19759999999999</v>
      </c>
      <c r="AL7" s="38">
        <v>4.666666666666667</v>
      </c>
      <c r="AM7" s="16">
        <v>4193.17</v>
      </c>
      <c r="AN7" s="15">
        <v>5695.75</v>
      </c>
      <c r="AP7" s="36" t="s">
        <v>7</v>
      </c>
      <c r="AQ7" s="15">
        <v>5564.01</v>
      </c>
      <c r="AR7" s="2">
        <v>1</v>
      </c>
      <c r="AS7" s="2">
        <v>0</v>
      </c>
      <c r="AT7" s="2">
        <v>0</v>
      </c>
      <c r="AU7" s="49">
        <v>100.09740240000001</v>
      </c>
      <c r="AV7" s="38">
        <v>4.2</v>
      </c>
      <c r="AW7" s="16">
        <v>4350</v>
      </c>
      <c r="AX7" s="15">
        <v>5617.39</v>
      </c>
    </row>
    <row r="8" spans="2:50" x14ac:dyDescent="0.25">
      <c r="B8" s="5" t="s">
        <v>7</v>
      </c>
      <c r="C8" s="3">
        <v>3890</v>
      </c>
      <c r="D8" s="3">
        <v>3328</v>
      </c>
      <c r="E8" s="3">
        <v>4188</v>
      </c>
      <c r="F8" s="15">
        <v>5441.34</v>
      </c>
      <c r="G8" s="15">
        <v>6030.8630829202302</v>
      </c>
      <c r="H8" s="15">
        <f t="shared" si="1"/>
        <v>5736.1015414601152</v>
      </c>
      <c r="I8" s="3">
        <v>4079</v>
      </c>
      <c r="J8" s="3">
        <v>3863</v>
      </c>
      <c r="K8" s="3">
        <v>4004</v>
      </c>
      <c r="L8" s="3">
        <v>0</v>
      </c>
      <c r="M8" s="15">
        <v>5564.01</v>
      </c>
      <c r="N8" s="15">
        <v>5356.53</v>
      </c>
      <c r="O8" s="15">
        <v>5547.46</v>
      </c>
      <c r="P8" s="15">
        <f t="shared" si="0"/>
        <v>5451.9949999999999</v>
      </c>
      <c r="Q8" s="15">
        <v>5391.1</v>
      </c>
      <c r="R8" s="15">
        <v>5398.41</v>
      </c>
      <c r="S8" s="15">
        <v>5460.22</v>
      </c>
      <c r="T8" s="15">
        <f t="shared" si="2"/>
        <v>5416.5766666666668</v>
      </c>
      <c r="U8" s="15">
        <v>5615.54</v>
      </c>
      <c r="V8" s="15">
        <v>5156.17</v>
      </c>
      <c r="W8" s="15">
        <f t="shared" si="3"/>
        <v>5385.8549999999996</v>
      </c>
      <c r="X8" s="3">
        <v>99.9</v>
      </c>
      <c r="Y8" s="38">
        <f t="shared" si="4"/>
        <v>0.99900000000000011</v>
      </c>
      <c r="Z8" s="38">
        <f t="shared" si="5"/>
        <v>100.09740240000001</v>
      </c>
      <c r="AA8" s="3">
        <v>4.2</v>
      </c>
      <c r="AB8" s="16">
        <v>496</v>
      </c>
      <c r="AC8" s="29">
        <v>4350</v>
      </c>
      <c r="AD8" s="15">
        <v>49</v>
      </c>
      <c r="AE8" s="25"/>
      <c r="AF8" s="36" t="s">
        <v>7</v>
      </c>
      <c r="AG8" s="15">
        <v>5564.01</v>
      </c>
      <c r="AH8" s="2">
        <v>1</v>
      </c>
      <c r="AI8" s="2">
        <v>0</v>
      </c>
      <c r="AJ8" s="2">
        <v>0</v>
      </c>
      <c r="AK8" s="49">
        <v>100.09740240000001</v>
      </c>
      <c r="AL8" s="38">
        <v>4.2</v>
      </c>
      <c r="AM8" s="16">
        <v>4350</v>
      </c>
      <c r="AN8" s="15">
        <v>5617.39</v>
      </c>
      <c r="AP8" s="36" t="s">
        <v>8</v>
      </c>
      <c r="AQ8" s="15">
        <v>5413.68</v>
      </c>
      <c r="AR8" s="2">
        <v>1</v>
      </c>
      <c r="AS8" s="2">
        <v>0</v>
      </c>
      <c r="AT8" s="2">
        <v>0</v>
      </c>
      <c r="AU8" s="49">
        <v>99.496817985600018</v>
      </c>
      <c r="AV8" s="38">
        <v>4.166666666666667</v>
      </c>
      <c r="AW8" s="16">
        <v>4491.63</v>
      </c>
      <c r="AX8" s="15">
        <v>5564.01</v>
      </c>
    </row>
    <row r="9" spans="2:50" x14ac:dyDescent="0.25">
      <c r="B9" s="5" t="s">
        <v>8</v>
      </c>
      <c r="C9" s="3">
        <v>4052</v>
      </c>
      <c r="D9" s="3">
        <v>3616</v>
      </c>
      <c r="E9" s="3">
        <v>4384</v>
      </c>
      <c r="F9" s="15">
        <v>5364</v>
      </c>
      <c r="G9" s="15">
        <v>6451.9399543836425</v>
      </c>
      <c r="H9" s="15">
        <f t="shared" si="1"/>
        <v>5907.9699771918213</v>
      </c>
      <c r="I9" s="3">
        <v>4232</v>
      </c>
      <c r="J9" s="3">
        <v>4120</v>
      </c>
      <c r="K9" s="3">
        <v>4246</v>
      </c>
      <c r="L9" s="3">
        <v>3370</v>
      </c>
      <c r="M9" s="15">
        <v>5413.68</v>
      </c>
      <c r="N9" s="15">
        <v>5213.76</v>
      </c>
      <c r="O9" s="15">
        <v>5581.68</v>
      </c>
      <c r="P9" s="15">
        <f t="shared" si="0"/>
        <v>5397.72</v>
      </c>
      <c r="Q9" s="15">
        <v>5328.77</v>
      </c>
      <c r="R9" s="15">
        <v>5284.9</v>
      </c>
      <c r="S9" s="15">
        <v>5395.04</v>
      </c>
      <c r="T9" s="15">
        <f t="shared" si="2"/>
        <v>5336.2366666666667</v>
      </c>
      <c r="U9" s="15">
        <v>5649.45</v>
      </c>
      <c r="V9" s="15">
        <v>5191.97</v>
      </c>
      <c r="W9" s="15">
        <f t="shared" si="3"/>
        <v>5420.71</v>
      </c>
      <c r="X9" s="3">
        <v>99.4</v>
      </c>
      <c r="Y9" s="38">
        <f t="shared" si="4"/>
        <v>0.99400000000000011</v>
      </c>
      <c r="Z9" s="38">
        <f t="shared" si="5"/>
        <v>99.496817985600018</v>
      </c>
      <c r="AA9" s="3">
        <v>4.166666666666667</v>
      </c>
      <c r="AB9" s="16">
        <v>326</v>
      </c>
      <c r="AC9" s="29">
        <v>4491.63</v>
      </c>
      <c r="AD9" s="15"/>
      <c r="AE9" s="25"/>
      <c r="AF9" s="36" t="s">
        <v>8</v>
      </c>
      <c r="AG9" s="15">
        <v>5413.68</v>
      </c>
      <c r="AH9" s="2">
        <v>1</v>
      </c>
      <c r="AI9" s="2">
        <v>0</v>
      </c>
      <c r="AJ9" s="2">
        <v>0</v>
      </c>
      <c r="AK9" s="49">
        <v>99.496817985600018</v>
      </c>
      <c r="AL9" s="38">
        <v>4.166666666666667</v>
      </c>
      <c r="AM9" s="16">
        <v>4491.63</v>
      </c>
      <c r="AN9" s="15">
        <v>5564.01</v>
      </c>
      <c r="AP9" s="36" t="s">
        <v>9</v>
      </c>
      <c r="AQ9" s="15">
        <v>5517.48</v>
      </c>
      <c r="AR9" s="2">
        <v>1</v>
      </c>
      <c r="AS9" s="2">
        <v>0</v>
      </c>
      <c r="AT9" s="2">
        <v>0</v>
      </c>
      <c r="AU9" s="49">
        <v>100.09379889351362</v>
      </c>
      <c r="AV9" s="38">
        <v>3.8333333333333335</v>
      </c>
      <c r="AW9" s="16">
        <v>4333.0600000000004</v>
      </c>
      <c r="AX9" s="15">
        <v>5413.68</v>
      </c>
    </row>
    <row r="10" spans="2:50" x14ac:dyDescent="0.25">
      <c r="B10" s="5" t="s">
        <v>9</v>
      </c>
      <c r="C10" s="3">
        <v>4202</v>
      </c>
      <c r="D10" s="3">
        <v>3798</v>
      </c>
      <c r="E10" s="3">
        <v>4474</v>
      </c>
      <c r="F10" s="15">
        <v>5521</v>
      </c>
      <c r="G10" s="15">
        <v>6185.2329537581036</v>
      </c>
      <c r="H10" s="15">
        <f t="shared" si="1"/>
        <v>5853.1164768790513</v>
      </c>
      <c r="I10" s="3">
        <v>4393</v>
      </c>
      <c r="J10" s="3">
        <v>4319</v>
      </c>
      <c r="K10" s="3">
        <v>4165</v>
      </c>
      <c r="L10" s="3">
        <v>3608</v>
      </c>
      <c r="M10" s="15">
        <v>5517.48</v>
      </c>
      <c r="N10" s="15">
        <v>5253.76</v>
      </c>
      <c r="O10" s="15">
        <v>5460</v>
      </c>
      <c r="P10" s="15">
        <f t="shared" si="0"/>
        <v>5356.88</v>
      </c>
      <c r="Q10" s="15">
        <v>5269.11</v>
      </c>
      <c r="R10" s="15">
        <v>5179.79</v>
      </c>
      <c r="S10" s="15">
        <v>5297.82</v>
      </c>
      <c r="T10" s="15">
        <f t="shared" si="2"/>
        <v>5248.9066666666668</v>
      </c>
      <c r="U10" s="15">
        <v>5453.66</v>
      </c>
      <c r="V10" s="15">
        <v>5334.68</v>
      </c>
      <c r="W10" s="15">
        <f t="shared" si="3"/>
        <v>5394.17</v>
      </c>
      <c r="X10" s="3">
        <v>100.6</v>
      </c>
      <c r="Y10" s="38">
        <f t="shared" si="4"/>
        <v>1.006</v>
      </c>
      <c r="Z10" s="38">
        <f t="shared" si="5"/>
        <v>100.09379889351362</v>
      </c>
      <c r="AA10" s="3">
        <v>3.8333333333333335</v>
      </c>
      <c r="AB10" s="16">
        <v>95</v>
      </c>
      <c r="AC10" s="29">
        <v>4333.0600000000004</v>
      </c>
      <c r="AD10" s="15">
        <v>255</v>
      </c>
      <c r="AE10" s="25"/>
      <c r="AF10" s="36" t="s">
        <v>9</v>
      </c>
      <c r="AG10" s="15">
        <v>5517.48</v>
      </c>
      <c r="AH10" s="2">
        <v>1</v>
      </c>
      <c r="AI10" s="2">
        <v>0</v>
      </c>
      <c r="AJ10" s="2">
        <v>0</v>
      </c>
      <c r="AK10" s="49">
        <v>100.09379889351362</v>
      </c>
      <c r="AL10" s="38">
        <v>3.8333333333333335</v>
      </c>
      <c r="AM10" s="16">
        <v>4333.0600000000004</v>
      </c>
      <c r="AN10" s="15">
        <v>5413.68</v>
      </c>
      <c r="AP10" s="36" t="s">
        <v>10</v>
      </c>
      <c r="AQ10" s="15">
        <v>5688.82</v>
      </c>
      <c r="AR10" s="2">
        <v>1</v>
      </c>
      <c r="AS10" s="2">
        <v>0</v>
      </c>
      <c r="AT10" s="2">
        <v>0</v>
      </c>
      <c r="AU10" s="49">
        <v>99.993705094620125</v>
      </c>
      <c r="AV10" s="38">
        <v>3.7333333333333329</v>
      </c>
      <c r="AW10" s="16">
        <v>4352.28</v>
      </c>
      <c r="AX10" s="15">
        <v>5517.48</v>
      </c>
    </row>
    <row r="11" spans="2:50" x14ac:dyDescent="0.25">
      <c r="B11" s="5" t="s">
        <v>10</v>
      </c>
      <c r="C11" s="3">
        <v>4075</v>
      </c>
      <c r="D11" s="3">
        <v>3952</v>
      </c>
      <c r="E11" s="3">
        <v>4412</v>
      </c>
      <c r="F11" s="15">
        <v>5555.35</v>
      </c>
      <c r="G11" s="15">
        <v>6283.4648835133175</v>
      </c>
      <c r="H11" s="15">
        <f t="shared" si="1"/>
        <v>5919.407441756659</v>
      </c>
      <c r="I11" s="3">
        <v>4139</v>
      </c>
      <c r="J11" s="3">
        <v>3972</v>
      </c>
      <c r="K11" s="3">
        <v>3976</v>
      </c>
      <c r="L11" s="3">
        <v>4800</v>
      </c>
      <c r="M11" s="15">
        <v>5688.82</v>
      </c>
      <c r="N11" s="15">
        <v>5374.74</v>
      </c>
      <c r="O11" s="15">
        <v>5528.42</v>
      </c>
      <c r="P11" s="15">
        <f t="shared" si="0"/>
        <v>5451.58</v>
      </c>
      <c r="Q11" s="15">
        <v>5390.76</v>
      </c>
      <c r="R11" s="15">
        <v>5306.51</v>
      </c>
      <c r="S11" s="15">
        <v>5429.27</v>
      </c>
      <c r="T11" s="15">
        <f t="shared" si="2"/>
        <v>5375.5133333333333</v>
      </c>
      <c r="U11" s="15">
        <v>5616.49</v>
      </c>
      <c r="V11" s="15">
        <v>5465.36</v>
      </c>
      <c r="W11" s="15">
        <f t="shared" si="3"/>
        <v>5540.9249999999993</v>
      </c>
      <c r="X11" s="3">
        <v>99.9</v>
      </c>
      <c r="Y11" s="38">
        <f t="shared" si="4"/>
        <v>0.99900000000000011</v>
      </c>
      <c r="Z11" s="38">
        <f t="shared" si="5"/>
        <v>99.993705094620125</v>
      </c>
      <c r="AA11" s="3">
        <v>3.7333333333333329</v>
      </c>
      <c r="AB11" s="16">
        <v>263</v>
      </c>
      <c r="AC11" s="29">
        <v>4352.28</v>
      </c>
      <c r="AD11" s="15"/>
      <c r="AE11" s="25"/>
      <c r="AF11" s="36" t="s">
        <v>10</v>
      </c>
      <c r="AG11" s="15">
        <v>5688.82</v>
      </c>
      <c r="AH11" s="2">
        <v>1</v>
      </c>
      <c r="AI11" s="2">
        <v>0</v>
      </c>
      <c r="AJ11" s="2">
        <v>0</v>
      </c>
      <c r="AK11" s="49">
        <v>99.993705094620125</v>
      </c>
      <c r="AL11" s="38">
        <v>3.7333333333333329</v>
      </c>
      <c r="AM11" s="16">
        <v>4352.28</v>
      </c>
      <c r="AN11" s="15">
        <v>5517.48</v>
      </c>
      <c r="AP11" s="36" t="s">
        <v>11</v>
      </c>
      <c r="AQ11" s="15">
        <v>5725.84</v>
      </c>
      <c r="AR11" s="2">
        <v>1</v>
      </c>
      <c r="AS11" s="2">
        <v>0</v>
      </c>
      <c r="AT11" s="2">
        <v>0</v>
      </c>
      <c r="AU11" s="49">
        <v>100.69366103028248</v>
      </c>
      <c r="AV11" s="38">
        <v>3.6333333333333333</v>
      </c>
      <c r="AW11" s="16">
        <v>4467.88</v>
      </c>
      <c r="AX11" s="15">
        <v>5688.82</v>
      </c>
    </row>
    <row r="12" spans="2:50" x14ac:dyDescent="0.25">
      <c r="B12" s="5" t="s">
        <v>11</v>
      </c>
      <c r="C12" s="3">
        <v>3941</v>
      </c>
      <c r="D12" s="3">
        <v>3926</v>
      </c>
      <c r="E12" s="3">
        <v>4151</v>
      </c>
      <c r="F12" s="15">
        <v>5609.67</v>
      </c>
      <c r="G12" s="15">
        <v>6481.1886386141314</v>
      </c>
      <c r="H12" s="15">
        <f t="shared" si="1"/>
        <v>6045.4293193070662</v>
      </c>
      <c r="I12" s="3">
        <v>4027</v>
      </c>
      <c r="J12" s="3">
        <v>3842</v>
      </c>
      <c r="K12" s="3">
        <v>4167</v>
      </c>
      <c r="L12" s="3">
        <v>3629</v>
      </c>
      <c r="M12" s="15">
        <v>5725.84</v>
      </c>
      <c r="N12" s="15">
        <v>5598.45</v>
      </c>
      <c r="O12" s="15">
        <v>5616.83</v>
      </c>
      <c r="P12" s="15">
        <f t="shared" si="0"/>
        <v>5607.6399999999994</v>
      </c>
      <c r="Q12" s="15">
        <v>5553.41</v>
      </c>
      <c r="R12" s="15">
        <v>5423.2</v>
      </c>
      <c r="S12" s="15">
        <v>5535.54</v>
      </c>
      <c r="T12" s="15">
        <f t="shared" si="2"/>
        <v>5504.05</v>
      </c>
      <c r="U12" s="15">
        <v>5703.95</v>
      </c>
      <c r="V12" s="15">
        <v>5637.03</v>
      </c>
      <c r="W12" s="15">
        <f t="shared" si="3"/>
        <v>5670.49</v>
      </c>
      <c r="X12" s="3">
        <v>100.7</v>
      </c>
      <c r="Y12" s="38">
        <f t="shared" si="4"/>
        <v>1.0070000000000001</v>
      </c>
      <c r="Z12" s="38">
        <f t="shared" si="5"/>
        <v>100.69366103028248</v>
      </c>
      <c r="AA12" s="3">
        <v>3.6333333333333333</v>
      </c>
      <c r="AB12" s="16">
        <v>211</v>
      </c>
      <c r="AC12" s="29">
        <v>4467.88</v>
      </c>
      <c r="AD12" s="15">
        <v>667</v>
      </c>
      <c r="AE12" s="25"/>
      <c r="AF12" s="36" t="s">
        <v>11</v>
      </c>
      <c r="AG12" s="15">
        <v>5725.84</v>
      </c>
      <c r="AH12" s="2">
        <v>1</v>
      </c>
      <c r="AI12" s="2">
        <v>0</v>
      </c>
      <c r="AJ12" s="2">
        <v>0</v>
      </c>
      <c r="AK12" s="49">
        <v>100.69366103028248</v>
      </c>
      <c r="AL12" s="38">
        <v>3.6333333333333333</v>
      </c>
      <c r="AM12" s="16">
        <v>4467.88</v>
      </c>
      <c r="AN12" s="15">
        <v>5688.82</v>
      </c>
      <c r="AP12" s="36" t="s">
        <v>12</v>
      </c>
      <c r="AQ12" s="15">
        <v>6043.25</v>
      </c>
      <c r="AR12" s="2">
        <v>1</v>
      </c>
      <c r="AS12" s="2">
        <v>0</v>
      </c>
      <c r="AT12" s="2">
        <v>0</v>
      </c>
      <c r="AU12" s="49">
        <v>101.70059764058531</v>
      </c>
      <c r="AV12" s="38">
        <v>3.6</v>
      </c>
      <c r="AW12" s="16">
        <v>4697.92</v>
      </c>
      <c r="AX12" s="15">
        <v>5725.84</v>
      </c>
    </row>
    <row r="13" spans="2:50" x14ac:dyDescent="0.25">
      <c r="B13" s="5" t="s">
        <v>12</v>
      </c>
      <c r="C13" s="3">
        <v>4197</v>
      </c>
      <c r="D13" s="3">
        <v>3958</v>
      </c>
      <c r="E13" s="3">
        <v>4341</v>
      </c>
      <c r="F13" s="15">
        <v>5778.4937294171195</v>
      </c>
      <c r="G13" s="15">
        <v>6430.393973420255</v>
      </c>
      <c r="H13" s="15">
        <f t="shared" si="1"/>
        <v>6104.4438514186877</v>
      </c>
      <c r="I13" s="3">
        <v>4531</v>
      </c>
      <c r="J13" s="3">
        <v>4293</v>
      </c>
      <c r="K13" s="3">
        <v>4090</v>
      </c>
      <c r="L13" s="3">
        <v>3494</v>
      </c>
      <c r="M13" s="15">
        <v>6043.25</v>
      </c>
      <c r="N13" s="15">
        <v>5793.44</v>
      </c>
      <c r="O13" s="15">
        <v>5757.72</v>
      </c>
      <c r="P13" s="15">
        <f t="shared" si="0"/>
        <v>5775.58</v>
      </c>
      <c r="Q13" s="15">
        <v>5754.51</v>
      </c>
      <c r="R13" s="15">
        <v>5566.31</v>
      </c>
      <c r="S13" s="15">
        <v>5729.77</v>
      </c>
      <c r="T13" s="15">
        <f t="shared" si="2"/>
        <v>5683.53</v>
      </c>
      <c r="U13" s="15">
        <v>5756.43</v>
      </c>
      <c r="V13" s="15">
        <v>5955.3</v>
      </c>
      <c r="W13" s="15">
        <f t="shared" si="3"/>
        <v>5855.8649999999998</v>
      </c>
      <c r="X13" s="3">
        <v>101</v>
      </c>
      <c r="Y13" s="38">
        <f t="shared" si="4"/>
        <v>1.01</v>
      </c>
      <c r="Z13" s="38">
        <f t="shared" si="5"/>
        <v>101.70059764058531</v>
      </c>
      <c r="AA13" s="3">
        <v>3.6</v>
      </c>
      <c r="AB13" s="16">
        <v>273</v>
      </c>
      <c r="AC13" s="29">
        <v>4697.92</v>
      </c>
      <c r="AD13" s="15"/>
      <c r="AE13" s="25"/>
      <c r="AF13" s="36" t="s">
        <v>12</v>
      </c>
      <c r="AG13" s="15">
        <v>6043.25</v>
      </c>
      <c r="AH13" s="2">
        <v>1</v>
      </c>
      <c r="AI13" s="2">
        <v>0</v>
      </c>
      <c r="AJ13" s="2">
        <v>0</v>
      </c>
      <c r="AK13" s="49">
        <v>101.70059764058531</v>
      </c>
      <c r="AL13" s="38">
        <v>3.6</v>
      </c>
      <c r="AM13" s="16">
        <v>4697.92</v>
      </c>
      <c r="AN13" s="15">
        <v>5725.84</v>
      </c>
      <c r="AP13" s="36" t="s">
        <v>13</v>
      </c>
      <c r="AQ13" s="15">
        <v>6283.44</v>
      </c>
      <c r="AR13" s="2">
        <v>1</v>
      </c>
      <c r="AS13" s="2">
        <v>0</v>
      </c>
      <c r="AT13" s="2">
        <v>0</v>
      </c>
      <c r="AU13" s="49">
        <v>102.10740003114766</v>
      </c>
      <c r="AV13" s="38">
        <v>3.4</v>
      </c>
      <c r="AW13" s="16">
        <v>4501.59</v>
      </c>
      <c r="AX13" s="15">
        <v>6043.25</v>
      </c>
    </row>
    <row r="14" spans="2:50" x14ac:dyDescent="0.25">
      <c r="B14" s="5" t="s">
        <v>13</v>
      </c>
      <c r="C14" s="3">
        <v>4197</v>
      </c>
      <c r="D14" s="3">
        <v>4066</v>
      </c>
      <c r="E14" s="3">
        <v>4423</v>
      </c>
      <c r="F14" s="15">
        <v>6030.4699017128005</v>
      </c>
      <c r="G14" s="18">
        <v>6500.6278093026767</v>
      </c>
      <c r="H14" s="15">
        <f t="shared" si="1"/>
        <v>6265.5488555077391</v>
      </c>
      <c r="I14" s="3">
        <v>4584</v>
      </c>
      <c r="J14" s="3">
        <v>4356</v>
      </c>
      <c r="K14" s="3">
        <v>4217</v>
      </c>
      <c r="L14" s="3">
        <v>3640</v>
      </c>
      <c r="M14" s="15">
        <v>6283.44</v>
      </c>
      <c r="N14" s="15">
        <v>5864.5240000000003</v>
      </c>
      <c r="O14" s="15">
        <v>5958.3620000000001</v>
      </c>
      <c r="P14" s="15">
        <f t="shared" si="0"/>
        <v>5911.4430000000002</v>
      </c>
      <c r="Q14" s="15">
        <v>5833.1769999999997</v>
      </c>
      <c r="R14" s="15">
        <v>5738.95</v>
      </c>
      <c r="S14" s="15">
        <v>6044.5789999999997</v>
      </c>
      <c r="T14" s="15">
        <f t="shared" si="2"/>
        <v>5872.2353333333331</v>
      </c>
      <c r="U14" s="15">
        <v>5677.8230000000003</v>
      </c>
      <c r="V14" s="15">
        <v>5701.6409999999996</v>
      </c>
      <c r="W14" s="15">
        <f t="shared" si="3"/>
        <v>5689.732</v>
      </c>
      <c r="X14" s="3">
        <v>100.4</v>
      </c>
      <c r="Y14" s="38">
        <f t="shared" si="4"/>
        <v>1.004</v>
      </c>
      <c r="Z14" s="38">
        <f t="shared" si="5"/>
        <v>102.10740003114766</v>
      </c>
      <c r="AA14" s="3">
        <v>3.4</v>
      </c>
      <c r="AB14" s="16">
        <v>246</v>
      </c>
      <c r="AC14" s="29">
        <v>4501.59</v>
      </c>
      <c r="AD14" s="15">
        <v>161</v>
      </c>
      <c r="AE14" s="25"/>
      <c r="AF14" s="36" t="s">
        <v>13</v>
      </c>
      <c r="AG14" s="15">
        <v>6283.44</v>
      </c>
      <c r="AH14" s="2">
        <v>1</v>
      </c>
      <c r="AI14" s="2">
        <v>0</v>
      </c>
      <c r="AJ14" s="2">
        <v>0</v>
      </c>
      <c r="AK14" s="49">
        <v>102.10740003114766</v>
      </c>
      <c r="AL14" s="38">
        <v>3.4</v>
      </c>
      <c r="AM14" s="16">
        <v>4501.59</v>
      </c>
      <c r="AN14" s="15">
        <v>6043.25</v>
      </c>
      <c r="AP14" s="36" t="s">
        <v>14</v>
      </c>
      <c r="AQ14" s="15">
        <v>6574.0069999999996</v>
      </c>
      <c r="AR14" s="2">
        <v>1</v>
      </c>
      <c r="AS14" s="2">
        <v>0</v>
      </c>
      <c r="AT14" s="2">
        <v>0</v>
      </c>
      <c r="AU14" s="49">
        <v>101.90318523108537</v>
      </c>
      <c r="AV14" s="38">
        <v>3.2666666666666671</v>
      </c>
      <c r="AW14" s="16">
        <v>4544.1400000000003</v>
      </c>
      <c r="AX14" s="15">
        <v>6283.44</v>
      </c>
    </row>
    <row r="15" spans="2:50" x14ac:dyDescent="0.25">
      <c r="B15" s="5" t="s">
        <v>14</v>
      </c>
      <c r="C15" s="3">
        <v>4080</v>
      </c>
      <c r="D15" s="3">
        <v>4015</v>
      </c>
      <c r="E15" s="3">
        <v>4200</v>
      </c>
      <c r="F15" s="15">
        <v>6065.28</v>
      </c>
      <c r="G15" s="18">
        <v>6816.2609597983783</v>
      </c>
      <c r="H15" s="15">
        <f t="shared" si="1"/>
        <v>6440.770479899189</v>
      </c>
      <c r="I15" s="3">
        <v>4849</v>
      </c>
      <c r="J15" s="3">
        <v>4307</v>
      </c>
      <c r="K15" s="3">
        <v>4143</v>
      </c>
      <c r="L15" s="3">
        <v>3581</v>
      </c>
      <c r="M15" s="15">
        <v>6574.0069999999996</v>
      </c>
      <c r="N15" s="15">
        <v>5910.4960000000001</v>
      </c>
      <c r="O15" s="15">
        <v>6244.027</v>
      </c>
      <c r="P15" s="15">
        <f t="shared" si="0"/>
        <v>6077.2615000000005</v>
      </c>
      <c r="Q15" s="15">
        <v>5997.9430000000002</v>
      </c>
      <c r="R15" s="15">
        <v>5995.0029999999997</v>
      </c>
      <c r="S15" s="15">
        <v>6219.4780000000001</v>
      </c>
      <c r="T15" s="15">
        <f t="shared" si="2"/>
        <v>6070.808</v>
      </c>
      <c r="U15" s="15">
        <v>5856.7929999999997</v>
      </c>
      <c r="V15" s="15">
        <v>5624.107</v>
      </c>
      <c r="W15" s="15">
        <f t="shared" si="3"/>
        <v>5740.45</v>
      </c>
      <c r="X15" s="3">
        <v>99.8</v>
      </c>
      <c r="Y15" s="38">
        <f t="shared" si="4"/>
        <v>0.998</v>
      </c>
      <c r="Z15" s="38">
        <f t="shared" si="5"/>
        <v>101.90318523108537</v>
      </c>
      <c r="AA15" s="3">
        <v>3.2666666666666671</v>
      </c>
      <c r="AB15" s="16">
        <v>527</v>
      </c>
      <c r="AC15" s="29">
        <v>4544.1400000000003</v>
      </c>
      <c r="AD15" s="15"/>
      <c r="AE15" s="25"/>
      <c r="AF15" s="36" t="s">
        <v>14</v>
      </c>
      <c r="AG15" s="15">
        <v>6574.0069999999996</v>
      </c>
      <c r="AH15" s="2">
        <v>1</v>
      </c>
      <c r="AI15" s="2">
        <v>0</v>
      </c>
      <c r="AJ15" s="2">
        <v>0</v>
      </c>
      <c r="AK15" s="49">
        <v>101.90318523108537</v>
      </c>
      <c r="AL15" s="38">
        <v>3.2666666666666671</v>
      </c>
      <c r="AM15" s="16">
        <v>4544.1400000000003</v>
      </c>
      <c r="AN15" s="15">
        <v>6283.44</v>
      </c>
      <c r="AP15" s="36" t="s">
        <v>15</v>
      </c>
      <c r="AQ15" s="15">
        <v>6713.74</v>
      </c>
      <c r="AR15" s="2">
        <v>1</v>
      </c>
      <c r="AS15" s="2">
        <v>0</v>
      </c>
      <c r="AT15" s="2">
        <v>0</v>
      </c>
      <c r="AU15" s="49">
        <v>102.92221708339623</v>
      </c>
      <c r="AV15" s="38">
        <v>2.9</v>
      </c>
      <c r="AW15" s="16">
        <v>4779.32</v>
      </c>
      <c r="AX15" s="15">
        <v>6574.0069999999996</v>
      </c>
    </row>
    <row r="16" spans="2:50" x14ac:dyDescent="0.25">
      <c r="B16" s="5" t="s">
        <v>15</v>
      </c>
      <c r="C16" s="3">
        <v>4237</v>
      </c>
      <c r="D16" s="3">
        <v>4245</v>
      </c>
      <c r="E16" s="3">
        <v>4223</v>
      </c>
      <c r="F16" s="15">
        <v>6337.123450457836</v>
      </c>
      <c r="G16" s="15">
        <v>6829.4880413729461</v>
      </c>
      <c r="H16" s="15">
        <f t="shared" si="1"/>
        <v>6583.3057459153915</v>
      </c>
      <c r="I16" s="3">
        <v>4615</v>
      </c>
      <c r="J16" s="3">
        <v>4305</v>
      </c>
      <c r="K16" s="3">
        <v>4466</v>
      </c>
      <c r="L16" s="3">
        <v>3765</v>
      </c>
      <c r="M16" s="15">
        <v>6713.74</v>
      </c>
      <c r="N16" s="15">
        <v>6059.54</v>
      </c>
      <c r="O16" s="15">
        <v>6483.26</v>
      </c>
      <c r="P16" s="15">
        <f t="shared" si="0"/>
        <v>6271.4</v>
      </c>
      <c r="Q16" s="15">
        <v>6030.09</v>
      </c>
      <c r="R16" s="15">
        <v>6225.82</v>
      </c>
      <c r="S16" s="15">
        <v>6273.37</v>
      </c>
      <c r="T16" s="15">
        <f t="shared" si="2"/>
        <v>6176.4266666666663</v>
      </c>
      <c r="U16" s="15">
        <v>6066.75</v>
      </c>
      <c r="V16" s="15">
        <v>5852.87</v>
      </c>
      <c r="W16" s="15">
        <f t="shared" si="3"/>
        <v>5959.8099999999995</v>
      </c>
      <c r="X16" s="3">
        <v>101</v>
      </c>
      <c r="Y16" s="38">
        <f t="shared" si="4"/>
        <v>1.01</v>
      </c>
      <c r="Z16" s="38">
        <f t="shared" si="5"/>
        <v>102.92221708339623</v>
      </c>
      <c r="AA16" s="3">
        <v>2.9</v>
      </c>
      <c r="AB16" s="16">
        <v>257</v>
      </c>
      <c r="AC16" s="29">
        <v>4779.32</v>
      </c>
      <c r="AD16" s="15">
        <v>655</v>
      </c>
      <c r="AE16" s="25"/>
      <c r="AF16" s="36" t="s">
        <v>15</v>
      </c>
      <c r="AG16" s="15">
        <v>6713.74</v>
      </c>
      <c r="AH16" s="2">
        <v>1</v>
      </c>
      <c r="AI16" s="2">
        <v>0</v>
      </c>
      <c r="AJ16" s="2">
        <v>0</v>
      </c>
      <c r="AK16" s="49">
        <v>102.92221708339623</v>
      </c>
      <c r="AL16" s="38">
        <v>2.9</v>
      </c>
      <c r="AM16" s="16">
        <v>4779.32</v>
      </c>
      <c r="AN16" s="15">
        <v>6574.0069999999996</v>
      </c>
      <c r="AP16" s="36" t="s">
        <v>16</v>
      </c>
      <c r="AQ16" s="15">
        <v>7352.7830000000004</v>
      </c>
      <c r="AR16" s="2">
        <v>1</v>
      </c>
      <c r="AS16" s="2">
        <v>0</v>
      </c>
      <c r="AT16" s="2">
        <v>0</v>
      </c>
      <c r="AU16" s="49">
        <v>103.33390595172982</v>
      </c>
      <c r="AV16" s="38">
        <v>2.7999999999999994</v>
      </c>
      <c r="AW16" s="16">
        <v>4948.0600000000004</v>
      </c>
      <c r="AX16" s="15">
        <v>6713.74</v>
      </c>
    </row>
    <row r="17" spans="2:50" x14ac:dyDescent="0.25">
      <c r="B17" s="5" t="s">
        <v>16</v>
      </c>
      <c r="C17" s="15"/>
      <c r="D17" s="15"/>
      <c r="E17" s="15"/>
      <c r="F17" s="15">
        <v>6448.1392108023147</v>
      </c>
      <c r="G17" s="15">
        <v>7254.8868861993369</v>
      </c>
      <c r="H17" s="15">
        <f t="shared" si="1"/>
        <v>6851.5130485008258</v>
      </c>
      <c r="I17" s="15"/>
      <c r="J17" s="15"/>
      <c r="K17" s="15"/>
      <c r="L17" s="15"/>
      <c r="M17" s="15">
        <v>7352.7830000000004</v>
      </c>
      <c r="N17" s="15">
        <v>6717.4610000000002</v>
      </c>
      <c r="O17" s="15">
        <v>6729.4179999999997</v>
      </c>
      <c r="P17" s="15">
        <f t="shared" si="0"/>
        <v>6723.4395000000004</v>
      </c>
      <c r="Q17" s="15">
        <v>6321.1509999999998</v>
      </c>
      <c r="R17" s="15">
        <v>6370.5420000000004</v>
      </c>
      <c r="S17" s="15">
        <v>5970.8519999999999</v>
      </c>
      <c r="T17" s="15">
        <f t="shared" si="2"/>
        <v>6220.8483333333324</v>
      </c>
      <c r="U17" s="15">
        <v>6726.8209999999999</v>
      </c>
      <c r="V17" s="15">
        <v>5774.0060000000003</v>
      </c>
      <c r="W17" s="15">
        <f t="shared" si="3"/>
        <v>6250.4135000000006</v>
      </c>
      <c r="X17" s="3">
        <v>100.4</v>
      </c>
      <c r="Y17" s="38">
        <f t="shared" si="4"/>
        <v>1.004</v>
      </c>
      <c r="Z17" s="38">
        <f t="shared" si="5"/>
        <v>103.33390595172982</v>
      </c>
      <c r="AA17" s="3">
        <v>2.7999999999999994</v>
      </c>
      <c r="AB17" s="15"/>
      <c r="AC17" s="29">
        <v>4948.0600000000004</v>
      </c>
      <c r="AD17" s="15"/>
      <c r="AE17" s="25"/>
      <c r="AF17" s="36" t="s">
        <v>16</v>
      </c>
      <c r="AG17" s="15">
        <v>7352.7830000000004</v>
      </c>
      <c r="AH17" s="2">
        <v>1</v>
      </c>
      <c r="AI17" s="2">
        <v>0</v>
      </c>
      <c r="AJ17" s="2">
        <v>0</v>
      </c>
      <c r="AK17" s="49">
        <v>103.33390595172982</v>
      </c>
      <c r="AL17" s="38">
        <v>2.7999999999999994</v>
      </c>
      <c r="AM17" s="16">
        <v>4948.0600000000004</v>
      </c>
      <c r="AN17" s="15">
        <v>6713.74</v>
      </c>
      <c r="AP17" s="36" t="s">
        <v>17</v>
      </c>
      <c r="AQ17" s="15">
        <v>7419.03</v>
      </c>
      <c r="AR17" s="2">
        <v>1</v>
      </c>
      <c r="AS17" s="2">
        <v>0</v>
      </c>
      <c r="AT17" s="2">
        <v>0</v>
      </c>
      <c r="AU17" s="49">
        <v>104.26391110529539</v>
      </c>
      <c r="AV17" s="38">
        <v>2.6666666666666665</v>
      </c>
      <c r="AW17" s="16">
        <v>4762.92</v>
      </c>
      <c r="AX17" s="15">
        <v>7352.7830000000004</v>
      </c>
    </row>
    <row r="18" spans="2:50" x14ac:dyDescent="0.25">
      <c r="B18" s="5" t="s">
        <v>17</v>
      </c>
      <c r="C18" s="15"/>
      <c r="D18" s="15"/>
      <c r="E18" s="15"/>
      <c r="F18" s="15">
        <v>6562.8935078845125</v>
      </c>
      <c r="G18" s="15">
        <v>7543.4765710177699</v>
      </c>
      <c r="H18" s="15">
        <f t="shared" si="1"/>
        <v>7053.1850394511412</v>
      </c>
      <c r="I18" s="15"/>
      <c r="J18" s="15"/>
      <c r="K18" s="15"/>
      <c r="L18" s="15"/>
      <c r="M18" s="15">
        <v>7419.03</v>
      </c>
      <c r="N18" s="15">
        <v>7016.6480000000001</v>
      </c>
      <c r="O18" s="15">
        <v>6992.2039999999997</v>
      </c>
      <c r="P18" s="15">
        <f t="shared" si="0"/>
        <v>7004.4259999999995</v>
      </c>
      <c r="Q18" s="15">
        <v>6437.3040000000001</v>
      </c>
      <c r="R18" s="15">
        <v>6471.8</v>
      </c>
      <c r="S18" s="15">
        <v>6645.9870000000001</v>
      </c>
      <c r="T18" s="15">
        <f t="shared" si="2"/>
        <v>6518.3636666666671</v>
      </c>
      <c r="U18" s="15">
        <v>6847.51</v>
      </c>
      <c r="V18" s="15">
        <v>6186.6</v>
      </c>
      <c r="W18" s="15">
        <f t="shared" si="3"/>
        <v>6517.0550000000003</v>
      </c>
      <c r="X18" s="3">
        <v>100.9</v>
      </c>
      <c r="Y18" s="38">
        <f t="shared" si="4"/>
        <v>1.0090000000000001</v>
      </c>
      <c r="Z18" s="38">
        <f t="shared" si="5"/>
        <v>104.26391110529539</v>
      </c>
      <c r="AA18" s="3">
        <v>2.6666666666666665</v>
      </c>
      <c r="AB18" s="15"/>
      <c r="AC18" s="29">
        <v>4762.92</v>
      </c>
      <c r="AD18" s="15">
        <v>-75</v>
      </c>
      <c r="AE18" s="25"/>
      <c r="AF18" s="36" t="s">
        <v>17</v>
      </c>
      <c r="AG18" s="15">
        <v>7419.03</v>
      </c>
      <c r="AH18" s="2">
        <v>1</v>
      </c>
      <c r="AI18" s="2">
        <v>0</v>
      </c>
      <c r="AJ18" s="2">
        <v>0</v>
      </c>
      <c r="AK18" s="49">
        <v>104.26391110529539</v>
      </c>
      <c r="AL18" s="38">
        <v>2.6666666666666665</v>
      </c>
      <c r="AM18" s="16">
        <v>4762.92</v>
      </c>
      <c r="AN18" s="15">
        <v>7352.7830000000004</v>
      </c>
      <c r="AP18" s="36" t="s">
        <v>18</v>
      </c>
      <c r="AQ18" s="15">
        <v>7530.442</v>
      </c>
      <c r="AR18" s="2">
        <v>1</v>
      </c>
      <c r="AS18" s="2">
        <v>0</v>
      </c>
      <c r="AT18" s="2">
        <v>0</v>
      </c>
      <c r="AU18" s="49">
        <v>104.15964719419011</v>
      </c>
      <c r="AV18" s="38">
        <v>2.6</v>
      </c>
      <c r="AW18" s="16">
        <v>4868.6400000000003</v>
      </c>
      <c r="AX18" s="15">
        <v>7419.03</v>
      </c>
    </row>
    <row r="19" spans="2:50" x14ac:dyDescent="0.25">
      <c r="B19" s="5" t="s">
        <v>18</v>
      </c>
      <c r="C19" s="15"/>
      <c r="D19" s="15"/>
      <c r="E19" s="15"/>
      <c r="F19" s="15">
        <v>7115.27</v>
      </c>
      <c r="G19" s="15">
        <v>7256.830657899568</v>
      </c>
      <c r="H19" s="15">
        <f t="shared" si="1"/>
        <v>7186.0503289497847</v>
      </c>
      <c r="I19" s="15"/>
      <c r="J19" s="15"/>
      <c r="K19" s="15"/>
      <c r="L19" s="15"/>
      <c r="M19" s="15">
        <v>7530.442</v>
      </c>
      <c r="N19" s="15">
        <v>7094.8050000000003</v>
      </c>
      <c r="O19" s="15">
        <v>6973.4030000000002</v>
      </c>
      <c r="P19" s="15">
        <f t="shared" si="0"/>
        <v>7034.1040000000003</v>
      </c>
      <c r="Q19" s="15">
        <v>6388.13</v>
      </c>
      <c r="R19" s="15">
        <v>6461.2910000000002</v>
      </c>
      <c r="S19" s="15">
        <v>6535.6279999999997</v>
      </c>
      <c r="T19" s="15">
        <f t="shared" si="2"/>
        <v>6461.683</v>
      </c>
      <c r="U19" s="15">
        <v>6852.366</v>
      </c>
      <c r="V19" s="15">
        <v>6903.3459999999995</v>
      </c>
      <c r="W19" s="15">
        <f t="shared" si="3"/>
        <v>6877.8559999999998</v>
      </c>
      <c r="X19" s="3">
        <v>99.9</v>
      </c>
      <c r="Y19" s="38">
        <f t="shared" si="4"/>
        <v>0.99900000000000011</v>
      </c>
      <c r="Z19" s="38">
        <f t="shared" si="5"/>
        <v>104.15964719419011</v>
      </c>
      <c r="AA19" s="3">
        <v>2.6</v>
      </c>
      <c r="AB19" s="15"/>
      <c r="AC19" s="29">
        <v>4868.6400000000003</v>
      </c>
      <c r="AD19" s="15"/>
      <c r="AE19" s="25"/>
      <c r="AF19" s="36" t="s">
        <v>18</v>
      </c>
      <c r="AG19" s="15">
        <v>7530.442</v>
      </c>
      <c r="AH19" s="2">
        <v>1</v>
      </c>
      <c r="AI19" s="2">
        <v>0</v>
      </c>
      <c r="AJ19" s="2">
        <v>0</v>
      </c>
      <c r="AK19" s="49">
        <v>104.15964719419011</v>
      </c>
      <c r="AL19" s="38">
        <v>2.6</v>
      </c>
      <c r="AM19" s="16">
        <v>4868.6400000000003</v>
      </c>
      <c r="AN19" s="15">
        <v>7419.03</v>
      </c>
      <c r="AP19" s="36" t="s">
        <v>19</v>
      </c>
      <c r="AQ19" s="15">
        <v>7725.84</v>
      </c>
      <c r="AR19" s="2">
        <v>1</v>
      </c>
      <c r="AS19" s="2">
        <v>0</v>
      </c>
      <c r="AT19" s="2">
        <v>0</v>
      </c>
      <c r="AU19" s="49">
        <v>104.57628578296688</v>
      </c>
      <c r="AV19" s="38">
        <v>2.6</v>
      </c>
      <c r="AW19" s="16">
        <v>5097.63</v>
      </c>
      <c r="AX19" s="15">
        <v>7530.442</v>
      </c>
    </row>
    <row r="20" spans="2:50" x14ac:dyDescent="0.25">
      <c r="B20" s="5" t="s">
        <v>19</v>
      </c>
      <c r="C20" s="15"/>
      <c r="D20" s="15"/>
      <c r="E20" s="15"/>
      <c r="F20" s="15">
        <v>7499.3981956341458</v>
      </c>
      <c r="G20" s="15">
        <v>7914.5271262768583</v>
      </c>
      <c r="H20" s="15">
        <f xml:space="preserve"> AVERAGE(F20,G20)</f>
        <v>7706.9626609555016</v>
      </c>
      <c r="I20" s="15"/>
      <c r="J20" s="15"/>
      <c r="K20" s="15"/>
      <c r="L20" s="15"/>
      <c r="M20" s="15">
        <v>7725.84</v>
      </c>
      <c r="N20" s="15">
        <v>7095.77</v>
      </c>
      <c r="O20" s="15">
        <v>7092.01</v>
      </c>
      <c r="P20" s="15">
        <f t="shared" si="0"/>
        <v>7093.89</v>
      </c>
      <c r="Q20" s="15">
        <v>6793.46</v>
      </c>
      <c r="R20" s="15">
        <v>6649.29</v>
      </c>
      <c r="S20" s="15">
        <v>6777.26</v>
      </c>
      <c r="T20" s="15">
        <f t="shared" si="2"/>
        <v>6740.003333333334</v>
      </c>
      <c r="U20" s="15">
        <v>7171.48</v>
      </c>
      <c r="V20" s="15">
        <v>6614.97</v>
      </c>
      <c r="W20" s="15">
        <f t="shared" si="3"/>
        <v>6893.2250000000004</v>
      </c>
      <c r="X20" s="3">
        <v>100.4</v>
      </c>
      <c r="Y20" s="38">
        <f t="shared" si="4"/>
        <v>1.004</v>
      </c>
      <c r="Z20" s="38">
        <f t="shared" si="5"/>
        <v>104.57628578296688</v>
      </c>
      <c r="AA20" s="3">
        <v>2.6</v>
      </c>
      <c r="AB20" s="15"/>
      <c r="AC20" s="29">
        <v>5097.63</v>
      </c>
      <c r="AD20" s="15"/>
      <c r="AE20" s="25"/>
      <c r="AF20" s="36" t="s">
        <v>19</v>
      </c>
      <c r="AG20" s="15">
        <v>7725.84</v>
      </c>
      <c r="AH20" s="2">
        <v>1</v>
      </c>
      <c r="AI20" s="2">
        <v>0</v>
      </c>
      <c r="AJ20" s="2">
        <v>0</v>
      </c>
      <c r="AK20" s="49">
        <v>104.57628578296688</v>
      </c>
      <c r="AL20" s="38">
        <v>2.6</v>
      </c>
      <c r="AM20" s="16">
        <v>5097.63</v>
      </c>
      <c r="AN20" s="15">
        <v>7530.442</v>
      </c>
      <c r="AP20" s="36" t="s">
        <v>4</v>
      </c>
      <c r="AQ20" s="32">
        <v>5428.1350000000002</v>
      </c>
      <c r="AR20" s="2">
        <v>0</v>
      </c>
      <c r="AS20" s="30">
        <v>1</v>
      </c>
      <c r="AT20" s="2">
        <v>0</v>
      </c>
      <c r="AU20" s="49">
        <v>100</v>
      </c>
      <c r="AV20" s="38">
        <v>5.7333333333333334</v>
      </c>
      <c r="AW20" s="16">
        <v>4376.7700000000004</v>
      </c>
      <c r="AX20" s="15">
        <v>7725.84</v>
      </c>
    </row>
    <row r="21" spans="2:50" x14ac:dyDescent="0.25">
      <c r="B21" s="24" t="s">
        <v>4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6">
        <v>100.2</v>
      </c>
      <c r="Y21" s="38">
        <f t="shared" si="4"/>
        <v>1.002</v>
      </c>
      <c r="Z21" s="38">
        <f t="shared" si="5"/>
        <v>104.78543835453281</v>
      </c>
      <c r="AA21" s="26"/>
      <c r="AB21" s="25"/>
      <c r="AC21" s="27"/>
      <c r="AD21" s="25"/>
      <c r="AE21" s="25"/>
      <c r="AF21" s="36" t="s">
        <v>4</v>
      </c>
      <c r="AG21" s="32">
        <v>5428.1350000000002</v>
      </c>
      <c r="AH21" s="2">
        <v>0</v>
      </c>
      <c r="AI21" s="30">
        <v>1</v>
      </c>
      <c r="AJ21" s="2">
        <v>0</v>
      </c>
      <c r="AK21" s="49">
        <v>100</v>
      </c>
      <c r="AL21" s="38">
        <v>5.7333333333333334</v>
      </c>
      <c r="AM21" s="16">
        <v>4376.7700000000004</v>
      </c>
      <c r="AN21" s="15">
        <v>7725.84</v>
      </c>
      <c r="AP21" s="36" t="s">
        <v>5</v>
      </c>
      <c r="AQ21" s="32">
        <v>5348.87</v>
      </c>
      <c r="AR21" s="2">
        <v>0</v>
      </c>
      <c r="AS21" s="30">
        <v>1</v>
      </c>
      <c r="AT21" s="2">
        <v>0</v>
      </c>
      <c r="AU21" s="49">
        <v>100.6</v>
      </c>
      <c r="AV21" s="38">
        <v>5.333333333333333</v>
      </c>
      <c r="AW21" s="16">
        <v>4128.8900000000003</v>
      </c>
      <c r="AX21" s="32">
        <v>5428.1350000000002</v>
      </c>
    </row>
    <row r="22" spans="2:50" x14ac:dyDescent="0.25">
      <c r="B22" s="24" t="s">
        <v>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6"/>
      <c r="Y22" s="26"/>
      <c r="Z22" s="26"/>
      <c r="AA22" s="26"/>
      <c r="AB22" s="25"/>
      <c r="AC22" s="27"/>
      <c r="AD22" s="25"/>
      <c r="AE22" s="25"/>
      <c r="AF22" s="36" t="s">
        <v>5</v>
      </c>
      <c r="AG22" s="32">
        <v>5348.87</v>
      </c>
      <c r="AH22" s="2">
        <v>0</v>
      </c>
      <c r="AI22" s="30">
        <v>1</v>
      </c>
      <c r="AJ22" s="2">
        <v>0</v>
      </c>
      <c r="AK22" s="49">
        <v>100.6</v>
      </c>
      <c r="AL22" s="38">
        <v>5.333333333333333</v>
      </c>
      <c r="AM22" s="16">
        <v>4128.8900000000003</v>
      </c>
      <c r="AN22" s="32">
        <v>5428.1350000000002</v>
      </c>
      <c r="AP22" s="36" t="s">
        <v>6</v>
      </c>
      <c r="AQ22" s="32">
        <v>5513.6149999999998</v>
      </c>
      <c r="AR22" s="2">
        <v>0</v>
      </c>
      <c r="AS22" s="30">
        <v>1</v>
      </c>
      <c r="AT22" s="2">
        <v>0</v>
      </c>
      <c r="AU22" s="49">
        <v>100.19759999999999</v>
      </c>
      <c r="AV22" s="38">
        <v>4.666666666666667</v>
      </c>
      <c r="AW22" s="16">
        <v>4193.17</v>
      </c>
      <c r="AX22" s="32">
        <v>5348.87</v>
      </c>
    </row>
    <row r="23" spans="2:50" x14ac:dyDescent="0.25">
      <c r="B23" s="24" t="s">
        <v>6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6"/>
      <c r="Y23" s="26"/>
      <c r="Z23" s="26"/>
      <c r="AA23" s="26"/>
      <c r="AB23" s="25"/>
      <c r="AC23" s="27"/>
      <c r="AD23" s="25"/>
      <c r="AE23" s="25"/>
      <c r="AF23" s="36" t="s">
        <v>6</v>
      </c>
      <c r="AG23" s="32">
        <v>5513.6149999999998</v>
      </c>
      <c r="AH23" s="2">
        <v>0</v>
      </c>
      <c r="AI23" s="30">
        <v>1</v>
      </c>
      <c r="AJ23" s="2">
        <v>0</v>
      </c>
      <c r="AK23" s="49">
        <v>100.19759999999999</v>
      </c>
      <c r="AL23" s="38">
        <v>4.666666666666667</v>
      </c>
      <c r="AM23" s="16">
        <v>4193.17</v>
      </c>
      <c r="AN23" s="32">
        <v>5348.87</v>
      </c>
      <c r="AP23" s="36" t="s">
        <v>7</v>
      </c>
      <c r="AQ23" s="32">
        <v>5451.9949999999999</v>
      </c>
      <c r="AR23" s="2">
        <v>0</v>
      </c>
      <c r="AS23" s="30">
        <v>1</v>
      </c>
      <c r="AT23" s="2">
        <v>0</v>
      </c>
      <c r="AU23" s="49">
        <v>100.09740240000001</v>
      </c>
      <c r="AV23" s="38">
        <v>4.2</v>
      </c>
      <c r="AW23" s="16">
        <v>4350</v>
      </c>
      <c r="AX23" s="32">
        <v>5513.6149999999998</v>
      </c>
    </row>
    <row r="24" spans="2:50" x14ac:dyDescent="0.25">
      <c r="B24" s="24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6"/>
      <c r="Y24" s="26"/>
      <c r="Z24" s="26"/>
      <c r="AA24" s="26"/>
      <c r="AB24" s="25"/>
      <c r="AC24" s="27"/>
      <c r="AD24" s="25"/>
      <c r="AE24" s="25"/>
      <c r="AF24" s="36" t="s">
        <v>7</v>
      </c>
      <c r="AG24" s="32">
        <v>5451.9949999999999</v>
      </c>
      <c r="AH24" s="2">
        <v>0</v>
      </c>
      <c r="AI24" s="30">
        <v>1</v>
      </c>
      <c r="AJ24" s="2">
        <v>0</v>
      </c>
      <c r="AK24" s="49">
        <v>100.09740240000001</v>
      </c>
      <c r="AL24" s="38">
        <v>4.2</v>
      </c>
      <c r="AM24" s="16">
        <v>4350</v>
      </c>
      <c r="AN24" s="32">
        <v>5513.6149999999998</v>
      </c>
      <c r="AP24" s="36" t="s">
        <v>8</v>
      </c>
      <c r="AQ24" s="32">
        <v>5397.72</v>
      </c>
      <c r="AR24" s="2">
        <v>0</v>
      </c>
      <c r="AS24" s="30">
        <v>1</v>
      </c>
      <c r="AT24" s="2">
        <v>0</v>
      </c>
      <c r="AU24" s="49">
        <v>99.496817985600018</v>
      </c>
      <c r="AV24" s="38">
        <v>4.166666666666667</v>
      </c>
      <c r="AW24" s="16">
        <v>4491.63</v>
      </c>
      <c r="AX24" s="32">
        <v>5451.9949999999999</v>
      </c>
    </row>
    <row r="25" spans="2:50" x14ac:dyDescent="0.25">
      <c r="B25" s="24" t="s">
        <v>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6"/>
      <c r="Y25" s="26"/>
      <c r="Z25" s="26"/>
      <c r="AA25" s="26"/>
      <c r="AB25" s="25"/>
      <c r="AC25" s="27"/>
      <c r="AD25" s="25"/>
      <c r="AE25" s="25"/>
      <c r="AF25" s="36" t="s">
        <v>8</v>
      </c>
      <c r="AG25" s="32">
        <v>5397.72</v>
      </c>
      <c r="AH25" s="2">
        <v>0</v>
      </c>
      <c r="AI25" s="30">
        <v>1</v>
      </c>
      <c r="AJ25" s="2">
        <v>0</v>
      </c>
      <c r="AK25" s="49">
        <v>99.496817985600018</v>
      </c>
      <c r="AL25" s="38">
        <v>4.166666666666667</v>
      </c>
      <c r="AM25" s="16">
        <v>4491.63</v>
      </c>
      <c r="AN25" s="32">
        <v>5451.9949999999999</v>
      </c>
      <c r="AP25" s="36" t="s">
        <v>9</v>
      </c>
      <c r="AQ25" s="32">
        <v>5356.88</v>
      </c>
      <c r="AR25" s="2">
        <v>0</v>
      </c>
      <c r="AS25" s="30">
        <v>1</v>
      </c>
      <c r="AT25" s="2">
        <v>0</v>
      </c>
      <c r="AU25" s="49">
        <v>100.09379889351362</v>
      </c>
      <c r="AV25" s="38">
        <v>3.8333333333333335</v>
      </c>
      <c r="AW25" s="16">
        <v>4333.0600000000004</v>
      </c>
      <c r="AX25" s="32">
        <v>5397.72</v>
      </c>
    </row>
    <row r="26" spans="2:50" x14ac:dyDescent="0.25">
      <c r="B26" s="24" t="s">
        <v>9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6"/>
      <c r="Y26" s="26"/>
      <c r="Z26" s="26"/>
      <c r="AA26" s="26"/>
      <c r="AB26" s="25"/>
      <c r="AC26" s="27"/>
      <c r="AD26" s="25"/>
      <c r="AE26" s="25"/>
      <c r="AF26" s="36" t="s">
        <v>9</v>
      </c>
      <c r="AG26" s="32">
        <v>5356.88</v>
      </c>
      <c r="AH26" s="2">
        <v>0</v>
      </c>
      <c r="AI26" s="30">
        <v>1</v>
      </c>
      <c r="AJ26" s="2">
        <v>0</v>
      </c>
      <c r="AK26" s="49">
        <v>100.09379889351362</v>
      </c>
      <c r="AL26" s="38">
        <v>3.8333333333333335</v>
      </c>
      <c r="AM26" s="16">
        <v>4333.0600000000004</v>
      </c>
      <c r="AN26" s="32">
        <v>5397.72</v>
      </c>
      <c r="AP26" s="36" t="s">
        <v>10</v>
      </c>
      <c r="AQ26" s="32">
        <v>5451.58</v>
      </c>
      <c r="AR26" s="2">
        <v>0</v>
      </c>
      <c r="AS26" s="30">
        <v>1</v>
      </c>
      <c r="AT26" s="2">
        <v>0</v>
      </c>
      <c r="AU26" s="49">
        <v>99.993705094620125</v>
      </c>
      <c r="AV26" s="38">
        <v>3.7333333333333329</v>
      </c>
      <c r="AW26" s="16">
        <v>4352.28</v>
      </c>
      <c r="AX26" s="32">
        <v>5356.88</v>
      </c>
    </row>
    <row r="27" spans="2:50" x14ac:dyDescent="0.25">
      <c r="B27" s="24" t="s">
        <v>10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 t="s">
        <v>148</v>
      </c>
      <c r="X27" s="26" t="s">
        <v>149</v>
      </c>
      <c r="Y27" s="26"/>
      <c r="Z27" s="26"/>
      <c r="AA27" s="26"/>
      <c r="AB27" s="25"/>
      <c r="AC27" s="27"/>
      <c r="AD27" s="25"/>
      <c r="AE27" s="25"/>
      <c r="AF27" s="36" t="s">
        <v>10</v>
      </c>
      <c r="AG27" s="32">
        <v>5451.58</v>
      </c>
      <c r="AH27" s="2">
        <v>0</v>
      </c>
      <c r="AI27" s="30">
        <v>1</v>
      </c>
      <c r="AJ27" s="2">
        <v>0</v>
      </c>
      <c r="AK27" s="49">
        <v>99.993705094620125</v>
      </c>
      <c r="AL27" s="38">
        <v>3.7333333333333329</v>
      </c>
      <c r="AM27" s="16">
        <v>4352.28</v>
      </c>
      <c r="AN27" s="32">
        <v>5356.88</v>
      </c>
      <c r="AP27" s="36" t="s">
        <v>11</v>
      </c>
      <c r="AQ27" s="32">
        <v>5607.6399999999994</v>
      </c>
      <c r="AR27" s="2">
        <v>0</v>
      </c>
      <c r="AS27" s="30">
        <v>1</v>
      </c>
      <c r="AT27" s="2">
        <v>0</v>
      </c>
      <c r="AU27" s="49">
        <v>100.69366103028248</v>
      </c>
      <c r="AV27" s="38">
        <v>3.6333333333333333</v>
      </c>
      <c r="AW27" s="16">
        <v>4467.88</v>
      </c>
      <c r="AX27" s="32">
        <v>5451.58</v>
      </c>
    </row>
    <row r="28" spans="2:50" x14ac:dyDescent="0.25">
      <c r="B28" s="24" t="s">
        <v>11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 t="s">
        <v>150</v>
      </c>
      <c r="X28" s="26"/>
      <c r="Y28" s="26"/>
      <c r="Z28" s="26"/>
      <c r="AA28" s="26"/>
      <c r="AB28" s="25"/>
      <c r="AC28" s="27"/>
      <c r="AD28" s="25"/>
      <c r="AE28" s="25"/>
      <c r="AF28" s="36" t="s">
        <v>11</v>
      </c>
      <c r="AG28" s="32">
        <v>5607.6399999999994</v>
      </c>
      <c r="AH28" s="2">
        <v>0</v>
      </c>
      <c r="AI28" s="30">
        <v>1</v>
      </c>
      <c r="AJ28" s="2">
        <v>0</v>
      </c>
      <c r="AK28" s="49">
        <v>100.69366103028248</v>
      </c>
      <c r="AL28" s="38">
        <v>3.6333333333333333</v>
      </c>
      <c r="AM28" s="16">
        <v>4467.88</v>
      </c>
      <c r="AN28" s="32">
        <v>5451.58</v>
      </c>
      <c r="AP28" s="36" t="s">
        <v>12</v>
      </c>
      <c r="AQ28" s="32">
        <v>5775.58</v>
      </c>
      <c r="AR28" s="2">
        <v>0</v>
      </c>
      <c r="AS28" s="30">
        <v>1</v>
      </c>
      <c r="AT28" s="2">
        <v>0</v>
      </c>
      <c r="AU28" s="49">
        <v>101.70059764058531</v>
      </c>
      <c r="AV28" s="38">
        <v>3.6</v>
      </c>
      <c r="AW28" s="16">
        <v>4697.92</v>
      </c>
      <c r="AX28" s="32">
        <v>5607.6399999999994</v>
      </c>
    </row>
    <row r="29" spans="2:50" x14ac:dyDescent="0.25">
      <c r="B29" s="24" t="s">
        <v>12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6">
        <f>-23082+227.77+270.071*104.756+0.272*7725.84</f>
        <v>7538.7561560000049</v>
      </c>
      <c r="Y29" s="26"/>
      <c r="Z29" s="26"/>
      <c r="AA29" s="26"/>
      <c r="AB29" s="25"/>
      <c r="AC29" s="27"/>
      <c r="AD29" s="25"/>
      <c r="AE29" s="25"/>
      <c r="AF29" s="36" t="s">
        <v>12</v>
      </c>
      <c r="AG29" s="32">
        <v>5775.58</v>
      </c>
      <c r="AH29" s="2">
        <v>0</v>
      </c>
      <c r="AI29" s="30">
        <v>1</v>
      </c>
      <c r="AJ29" s="2">
        <v>0</v>
      </c>
      <c r="AK29" s="49">
        <v>101.70059764058531</v>
      </c>
      <c r="AL29" s="38">
        <v>3.6</v>
      </c>
      <c r="AM29" s="16">
        <v>4697.92</v>
      </c>
      <c r="AN29" s="32">
        <v>5607.6399999999994</v>
      </c>
      <c r="AP29" s="36" t="s">
        <v>13</v>
      </c>
      <c r="AQ29" s="32">
        <v>5911.4430000000002</v>
      </c>
      <c r="AR29" s="2">
        <v>0</v>
      </c>
      <c r="AS29" s="30">
        <v>1</v>
      </c>
      <c r="AT29" s="2">
        <v>0</v>
      </c>
      <c r="AU29" s="49">
        <v>102.10740003114766</v>
      </c>
      <c r="AV29" s="38">
        <v>3.4</v>
      </c>
      <c r="AW29" s="16">
        <v>4501.59</v>
      </c>
      <c r="AX29" s="32">
        <v>5775.58</v>
      </c>
    </row>
    <row r="30" spans="2:50" x14ac:dyDescent="0.25">
      <c r="B30" s="24" t="s">
        <v>13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Y30" s="26"/>
      <c r="Z30" s="26"/>
      <c r="AA30" s="26"/>
      <c r="AB30" s="25"/>
      <c r="AC30" s="27"/>
      <c r="AD30" s="25"/>
      <c r="AE30" s="25"/>
      <c r="AF30" s="36" t="s">
        <v>13</v>
      </c>
      <c r="AG30" s="32">
        <v>5911.4430000000002</v>
      </c>
      <c r="AH30" s="2">
        <v>0</v>
      </c>
      <c r="AI30" s="30">
        <v>1</v>
      </c>
      <c r="AJ30" s="2">
        <v>0</v>
      </c>
      <c r="AK30" s="49">
        <v>102.10740003114766</v>
      </c>
      <c r="AL30" s="38">
        <v>3.4</v>
      </c>
      <c r="AM30" s="16">
        <v>4501.59</v>
      </c>
      <c r="AN30" s="32">
        <v>5775.58</v>
      </c>
      <c r="AP30" s="36" t="s">
        <v>14</v>
      </c>
      <c r="AQ30" s="32">
        <v>6077.2615000000005</v>
      </c>
      <c r="AR30" s="2">
        <v>0</v>
      </c>
      <c r="AS30" s="30">
        <v>1</v>
      </c>
      <c r="AT30" s="2">
        <v>0</v>
      </c>
      <c r="AU30" s="49">
        <v>101.90318523108537</v>
      </c>
      <c r="AV30" s="38">
        <v>3.2666666666666671</v>
      </c>
      <c r="AW30" s="16">
        <v>4544.1400000000003</v>
      </c>
      <c r="AX30" s="32">
        <v>5911.4430000000002</v>
      </c>
    </row>
    <row r="31" spans="2:50" x14ac:dyDescent="0.25">
      <c r="B31" s="24" t="s">
        <v>14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 t="s">
        <v>151</v>
      </c>
      <c r="X31" s="26"/>
      <c r="Y31" s="26"/>
      <c r="Z31" s="26"/>
      <c r="AA31" s="26"/>
      <c r="AB31" s="25"/>
      <c r="AC31" s="27"/>
      <c r="AD31" s="25"/>
      <c r="AE31" s="25"/>
      <c r="AF31" s="36" t="s">
        <v>14</v>
      </c>
      <c r="AG31" s="32">
        <v>6077.2615000000005</v>
      </c>
      <c r="AH31" s="2">
        <v>0</v>
      </c>
      <c r="AI31" s="30">
        <v>1</v>
      </c>
      <c r="AJ31" s="2">
        <v>0</v>
      </c>
      <c r="AK31" s="49">
        <v>101.90318523108537</v>
      </c>
      <c r="AL31" s="38">
        <v>3.2666666666666671</v>
      </c>
      <c r="AM31" s="16">
        <v>4544.1400000000003</v>
      </c>
      <c r="AN31" s="32">
        <v>5911.4430000000002</v>
      </c>
      <c r="AP31" s="36" t="s">
        <v>15</v>
      </c>
      <c r="AQ31" s="32">
        <v>6271.4</v>
      </c>
      <c r="AR31" s="2">
        <v>0</v>
      </c>
      <c r="AS31" s="30">
        <v>1</v>
      </c>
      <c r="AT31" s="2">
        <v>0</v>
      </c>
      <c r="AU31" s="49">
        <v>102.92221708339623</v>
      </c>
      <c r="AV31" s="38">
        <v>2.9</v>
      </c>
      <c r="AW31" s="16">
        <v>4779.32</v>
      </c>
      <c r="AX31" s="32">
        <v>6077.2615000000005</v>
      </c>
    </row>
    <row r="32" spans="2:50" x14ac:dyDescent="0.25">
      <c r="B32" s="24" t="s">
        <v>15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6">
        <f>2913.33+253.784+0.498*6984.1</f>
        <v>6645.1958000000004</v>
      </c>
      <c r="Y32" s="26"/>
      <c r="Z32" s="26"/>
      <c r="AA32" s="26"/>
      <c r="AB32" s="25"/>
      <c r="AC32" s="27"/>
      <c r="AD32" s="25"/>
      <c r="AE32" s="25"/>
      <c r="AF32" s="36" t="s">
        <v>15</v>
      </c>
      <c r="AG32" s="32">
        <v>6271.4</v>
      </c>
      <c r="AH32" s="2">
        <v>0</v>
      </c>
      <c r="AI32" s="30">
        <v>1</v>
      </c>
      <c r="AJ32" s="2">
        <v>0</v>
      </c>
      <c r="AK32" s="49">
        <v>102.92221708339623</v>
      </c>
      <c r="AL32" s="38">
        <v>2.9</v>
      </c>
      <c r="AM32" s="16">
        <v>4779.32</v>
      </c>
      <c r="AN32" s="32">
        <v>6077.2615000000005</v>
      </c>
      <c r="AP32" s="36" t="s">
        <v>16</v>
      </c>
      <c r="AQ32" s="32">
        <v>6723.4395000000004</v>
      </c>
      <c r="AR32" s="2">
        <v>0</v>
      </c>
      <c r="AS32" s="30">
        <v>1</v>
      </c>
      <c r="AT32" s="2">
        <v>0</v>
      </c>
      <c r="AU32" s="49">
        <v>103.33390595172982</v>
      </c>
      <c r="AV32" s="38">
        <v>2.7999999999999994</v>
      </c>
      <c r="AW32" s="16">
        <v>4948.0600000000004</v>
      </c>
      <c r="AX32" s="32">
        <v>6271.4</v>
      </c>
    </row>
    <row r="33" spans="2:50" x14ac:dyDescent="0.25">
      <c r="B33" s="24" t="s">
        <v>16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6"/>
      <c r="Y33" s="26"/>
      <c r="Z33" s="26"/>
      <c r="AA33" s="26"/>
      <c r="AB33" s="25"/>
      <c r="AC33" s="27"/>
      <c r="AD33" s="25"/>
      <c r="AE33" s="25"/>
      <c r="AF33" s="36" t="s">
        <v>16</v>
      </c>
      <c r="AG33" s="32">
        <v>6723.4395000000004</v>
      </c>
      <c r="AH33" s="2">
        <v>0</v>
      </c>
      <c r="AI33" s="30">
        <v>1</v>
      </c>
      <c r="AJ33" s="2">
        <v>0</v>
      </c>
      <c r="AK33" s="49">
        <v>103.33390595172982</v>
      </c>
      <c r="AL33" s="38">
        <v>2.7999999999999994</v>
      </c>
      <c r="AM33" s="16">
        <v>4948.0600000000004</v>
      </c>
      <c r="AN33" s="32">
        <v>6271.4</v>
      </c>
      <c r="AP33" s="36" t="s">
        <v>17</v>
      </c>
      <c r="AQ33" s="32">
        <v>7004.4259999999995</v>
      </c>
      <c r="AR33" s="2">
        <v>0</v>
      </c>
      <c r="AS33" s="30">
        <v>1</v>
      </c>
      <c r="AT33" s="2">
        <v>0</v>
      </c>
      <c r="AU33" s="49">
        <v>104.26391110529539</v>
      </c>
      <c r="AV33" s="38">
        <v>2.6666666666666665</v>
      </c>
      <c r="AW33" s="16">
        <v>4762.92</v>
      </c>
      <c r="AX33" s="32">
        <v>6723.4395000000004</v>
      </c>
    </row>
    <row r="34" spans="2:50" x14ac:dyDescent="0.25">
      <c r="B34" s="24" t="s">
        <v>17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 t="s">
        <v>152</v>
      </c>
      <c r="X34" s="26"/>
      <c r="Y34" s="26"/>
      <c r="Z34" s="26"/>
      <c r="AA34" s="26"/>
      <c r="AB34" s="25"/>
      <c r="AC34" s="27"/>
      <c r="AD34" s="25"/>
      <c r="AE34" s="25"/>
      <c r="AF34" s="36" t="s">
        <v>17</v>
      </c>
      <c r="AG34" s="32">
        <v>7004.4259999999995</v>
      </c>
      <c r="AH34" s="2">
        <v>0</v>
      </c>
      <c r="AI34" s="30">
        <v>1</v>
      </c>
      <c r="AJ34" s="2">
        <v>0</v>
      </c>
      <c r="AK34" s="49">
        <v>104.26391110529539</v>
      </c>
      <c r="AL34" s="38">
        <v>2.6666666666666665</v>
      </c>
      <c r="AM34" s="16">
        <v>4762.92</v>
      </c>
      <c r="AN34" s="32">
        <v>6723.4395000000004</v>
      </c>
      <c r="AP34" s="36" t="s">
        <v>18</v>
      </c>
      <c r="AQ34" s="32">
        <v>7034.1040000000003</v>
      </c>
      <c r="AR34" s="2">
        <v>0</v>
      </c>
      <c r="AS34" s="30">
        <v>1</v>
      </c>
      <c r="AT34" s="2">
        <v>0</v>
      </c>
      <c r="AU34" s="49">
        <v>104.15964719419011</v>
      </c>
      <c r="AV34" s="38">
        <v>2.6</v>
      </c>
      <c r="AW34" s="16">
        <v>4868.6400000000003</v>
      </c>
      <c r="AX34" s="32">
        <v>7004.4259999999995</v>
      </c>
    </row>
    <row r="35" spans="2:50" x14ac:dyDescent="0.25">
      <c r="B35" s="24" t="s">
        <v>18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1">
        <f>3954.406+242.344+0.399*7310.16</f>
        <v>7113.5038400000003</v>
      </c>
      <c r="Y35" s="26"/>
      <c r="Z35" s="26"/>
      <c r="AA35" s="26"/>
      <c r="AB35" s="25"/>
      <c r="AC35" s="27"/>
      <c r="AD35" s="25"/>
      <c r="AE35" s="25"/>
      <c r="AF35" s="36" t="s">
        <v>18</v>
      </c>
      <c r="AG35" s="32">
        <v>7034.1040000000003</v>
      </c>
      <c r="AH35" s="2">
        <v>0</v>
      </c>
      <c r="AI35" s="30">
        <v>1</v>
      </c>
      <c r="AJ35" s="2">
        <v>0</v>
      </c>
      <c r="AK35" s="49">
        <v>104.15964719419011</v>
      </c>
      <c r="AL35" s="38">
        <v>2.6</v>
      </c>
      <c r="AM35" s="16">
        <v>4868.6400000000003</v>
      </c>
      <c r="AN35" s="32">
        <v>7004.4259999999995</v>
      </c>
      <c r="AP35" s="36" t="s">
        <v>19</v>
      </c>
      <c r="AQ35" s="32">
        <v>7093.89</v>
      </c>
      <c r="AR35" s="2">
        <v>0</v>
      </c>
      <c r="AS35" s="30">
        <v>1</v>
      </c>
      <c r="AT35" s="2">
        <v>0</v>
      </c>
      <c r="AU35" s="49">
        <v>104.57628578296688</v>
      </c>
      <c r="AV35" s="38">
        <v>2.6</v>
      </c>
      <c r="AW35" s="16">
        <v>5097.63</v>
      </c>
      <c r="AX35" s="32">
        <v>7034.1040000000003</v>
      </c>
    </row>
    <row r="36" spans="2:50" x14ac:dyDescent="0.25">
      <c r="B36" s="24" t="s">
        <v>19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6"/>
      <c r="Y36" s="26"/>
      <c r="Z36" s="26"/>
      <c r="AA36" s="26"/>
      <c r="AB36" s="25"/>
      <c r="AC36" s="27"/>
      <c r="AD36" s="25"/>
      <c r="AE36" s="25"/>
      <c r="AF36" s="36" t="s">
        <v>19</v>
      </c>
      <c r="AG36" s="32">
        <v>7093.89</v>
      </c>
      <c r="AH36" s="2">
        <v>0</v>
      </c>
      <c r="AI36" s="30">
        <v>1</v>
      </c>
      <c r="AJ36" s="2">
        <v>0</v>
      </c>
      <c r="AK36" s="49">
        <v>104.57628578296688</v>
      </c>
      <c r="AL36" s="38">
        <v>2.6</v>
      </c>
      <c r="AM36" s="16">
        <v>5097.63</v>
      </c>
      <c r="AN36" s="32">
        <v>7034.1040000000003</v>
      </c>
      <c r="AP36" s="36" t="s">
        <v>4</v>
      </c>
      <c r="AQ36" s="32">
        <v>5487.3499999999995</v>
      </c>
      <c r="AR36" s="2">
        <v>0</v>
      </c>
      <c r="AS36" s="30">
        <v>0</v>
      </c>
      <c r="AT36" s="2">
        <v>1</v>
      </c>
      <c r="AU36" s="49">
        <v>100</v>
      </c>
      <c r="AV36" s="38">
        <v>5.7333333333333334</v>
      </c>
      <c r="AW36" s="16">
        <v>4376.7700000000004</v>
      </c>
      <c r="AX36" s="32">
        <v>7093.89</v>
      </c>
    </row>
    <row r="37" spans="2:50" x14ac:dyDescent="0.25">
      <c r="B37" s="24" t="s">
        <v>4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 t="s">
        <v>153</v>
      </c>
      <c r="X37"/>
      <c r="Y37" s="26"/>
      <c r="Z37" s="26"/>
      <c r="AA37" s="26"/>
      <c r="AB37" s="25"/>
      <c r="AC37" s="27"/>
      <c r="AD37" s="25"/>
      <c r="AE37" s="25"/>
      <c r="AF37" s="36" t="s">
        <v>4</v>
      </c>
      <c r="AG37" s="32">
        <v>5487.3499999999995</v>
      </c>
      <c r="AH37" s="2">
        <v>0</v>
      </c>
      <c r="AI37" s="30">
        <v>0</v>
      </c>
      <c r="AJ37" s="2">
        <v>1</v>
      </c>
      <c r="AK37" s="49">
        <v>100</v>
      </c>
      <c r="AL37" s="38">
        <v>5.7333333333333334</v>
      </c>
      <c r="AM37" s="16">
        <v>4376.7700000000004</v>
      </c>
      <c r="AN37" s="32">
        <v>7093.89</v>
      </c>
      <c r="AP37" s="36" t="s">
        <v>5</v>
      </c>
      <c r="AQ37" s="32">
        <v>5490.06</v>
      </c>
      <c r="AR37" s="2">
        <v>0</v>
      </c>
      <c r="AS37" s="30">
        <v>0</v>
      </c>
      <c r="AT37" s="2">
        <v>1</v>
      </c>
      <c r="AU37" s="49">
        <v>100.6</v>
      </c>
      <c r="AV37" s="38">
        <v>5.333333333333333</v>
      </c>
      <c r="AW37" s="16">
        <v>4128.8900000000003</v>
      </c>
      <c r="AX37" s="32">
        <v>5487.3499999999995</v>
      </c>
    </row>
    <row r="38" spans="2:50" x14ac:dyDescent="0.25">
      <c r="B38" s="24" t="s">
        <v>5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56">
        <f>-12221+228.583+178.353*103.949+0.266*8999.6</f>
        <v>8941.0925970000026</v>
      </c>
      <c r="Y38" s="26"/>
      <c r="Z38" s="26"/>
      <c r="AA38" s="26"/>
      <c r="AB38" s="25"/>
      <c r="AC38" s="27"/>
      <c r="AD38" s="25"/>
      <c r="AE38" s="25"/>
      <c r="AF38" s="36" t="s">
        <v>5</v>
      </c>
      <c r="AG38" s="32">
        <v>5490.06</v>
      </c>
      <c r="AH38" s="2">
        <v>0</v>
      </c>
      <c r="AI38" s="30">
        <v>0</v>
      </c>
      <c r="AJ38" s="2">
        <v>1</v>
      </c>
      <c r="AK38" s="49">
        <v>100.6</v>
      </c>
      <c r="AL38" s="38">
        <v>5.333333333333333</v>
      </c>
      <c r="AM38" s="16">
        <v>4128.8900000000003</v>
      </c>
      <c r="AN38" s="32">
        <v>5487.3499999999995</v>
      </c>
      <c r="AP38" s="36" t="s">
        <v>6</v>
      </c>
      <c r="AQ38" s="32">
        <v>5442.68</v>
      </c>
      <c r="AR38" s="2">
        <v>0</v>
      </c>
      <c r="AS38" s="30">
        <v>0</v>
      </c>
      <c r="AT38" s="2">
        <v>1</v>
      </c>
      <c r="AU38" s="49">
        <v>100.19759999999999</v>
      </c>
      <c r="AV38" s="38">
        <v>4.666666666666667</v>
      </c>
      <c r="AW38" s="16">
        <v>4193.17</v>
      </c>
      <c r="AX38" s="32">
        <v>5490.06</v>
      </c>
    </row>
    <row r="39" spans="2:50" x14ac:dyDescent="0.25">
      <c r="B39" s="24" t="s">
        <v>6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6"/>
      <c r="Y39" s="26"/>
      <c r="Z39" s="26"/>
      <c r="AA39" s="26"/>
      <c r="AB39" s="25"/>
      <c r="AC39" s="27"/>
      <c r="AD39" s="25"/>
      <c r="AE39" s="25"/>
      <c r="AF39" s="36" t="s">
        <v>6</v>
      </c>
      <c r="AG39" s="32">
        <v>5442.68</v>
      </c>
      <c r="AH39" s="2">
        <v>0</v>
      </c>
      <c r="AI39" s="30">
        <v>0</v>
      </c>
      <c r="AJ39" s="2">
        <v>1</v>
      </c>
      <c r="AK39" s="49">
        <v>100.19759999999999</v>
      </c>
      <c r="AL39" s="38">
        <v>4.666666666666667</v>
      </c>
      <c r="AM39" s="16">
        <v>4193.17</v>
      </c>
      <c r="AN39" s="32">
        <v>5490.06</v>
      </c>
      <c r="AP39" s="36" t="s">
        <v>7</v>
      </c>
      <c r="AQ39" s="32">
        <v>5416.5766666666668</v>
      </c>
      <c r="AR39" s="2">
        <v>0</v>
      </c>
      <c r="AS39" s="30">
        <v>0</v>
      </c>
      <c r="AT39" s="2">
        <v>1</v>
      </c>
      <c r="AU39" s="49">
        <v>100.09740240000001</v>
      </c>
      <c r="AV39" s="38">
        <v>4.2</v>
      </c>
      <c r="AW39" s="16">
        <v>4350</v>
      </c>
      <c r="AX39" s="32">
        <v>5442.68</v>
      </c>
    </row>
    <row r="40" spans="2:50" x14ac:dyDescent="0.25">
      <c r="B40" s="24" t="s">
        <v>7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6"/>
      <c r="Y40" s="26"/>
      <c r="Z40" s="26"/>
      <c r="AA40" s="26"/>
      <c r="AB40" s="25"/>
      <c r="AC40" s="27"/>
      <c r="AD40" s="25"/>
      <c r="AE40" s="25"/>
      <c r="AF40" s="36" t="s">
        <v>7</v>
      </c>
      <c r="AG40" s="32">
        <v>5416.5766666666668</v>
      </c>
      <c r="AH40" s="2">
        <v>0</v>
      </c>
      <c r="AI40" s="30">
        <v>0</v>
      </c>
      <c r="AJ40" s="2">
        <v>1</v>
      </c>
      <c r="AK40" s="49">
        <v>100.09740240000001</v>
      </c>
      <c r="AL40" s="38">
        <v>4.2</v>
      </c>
      <c r="AM40" s="16">
        <v>4350</v>
      </c>
      <c r="AN40" s="32">
        <v>5442.68</v>
      </c>
      <c r="AP40" s="36" t="s">
        <v>8</v>
      </c>
      <c r="AQ40" s="32">
        <v>5336.2366666666667</v>
      </c>
      <c r="AR40" s="2">
        <v>0</v>
      </c>
      <c r="AS40" s="30">
        <v>0</v>
      </c>
      <c r="AT40" s="2">
        <v>1</v>
      </c>
      <c r="AU40" s="49">
        <v>99.496817985600018</v>
      </c>
      <c r="AV40" s="38">
        <v>4.166666666666667</v>
      </c>
      <c r="AW40" s="16">
        <v>4491.63</v>
      </c>
      <c r="AX40" s="32">
        <v>5416.5766666666668</v>
      </c>
    </row>
    <row r="41" spans="2:50" x14ac:dyDescent="0.25">
      <c r="B41" s="24" t="s">
        <v>8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6"/>
      <c r="Y41" s="26"/>
      <c r="Z41" s="26"/>
      <c r="AA41" s="26"/>
      <c r="AB41" s="25"/>
      <c r="AC41" s="27"/>
      <c r="AD41" s="25"/>
      <c r="AE41" s="25"/>
      <c r="AF41" s="36" t="s">
        <v>8</v>
      </c>
      <c r="AG41" s="32">
        <v>5336.2366666666667</v>
      </c>
      <c r="AH41" s="2">
        <v>0</v>
      </c>
      <c r="AI41" s="30">
        <v>0</v>
      </c>
      <c r="AJ41" s="2">
        <v>1</v>
      </c>
      <c r="AK41" s="49">
        <v>99.496817985600018</v>
      </c>
      <c r="AL41" s="38">
        <v>4.166666666666667</v>
      </c>
      <c r="AM41" s="16">
        <v>4491.63</v>
      </c>
      <c r="AN41" s="32">
        <v>5416.5766666666668</v>
      </c>
      <c r="AP41" s="36" t="s">
        <v>9</v>
      </c>
      <c r="AQ41" s="32">
        <v>5248.9066666666668</v>
      </c>
      <c r="AR41" s="2">
        <v>0</v>
      </c>
      <c r="AS41" s="30">
        <v>0</v>
      </c>
      <c r="AT41" s="2">
        <v>1</v>
      </c>
      <c r="AU41" s="49">
        <v>100.09379889351362</v>
      </c>
      <c r="AV41" s="38">
        <v>3.8333333333333335</v>
      </c>
      <c r="AW41" s="16">
        <v>4333.0600000000004</v>
      </c>
      <c r="AX41" s="32">
        <v>5336.2366666666667</v>
      </c>
    </row>
    <row r="42" spans="2:50" x14ac:dyDescent="0.25">
      <c r="B42" s="24" t="s">
        <v>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58"/>
      <c r="U42" s="58"/>
      <c r="V42" s="58"/>
      <c r="W42" s="58"/>
      <c r="X42" s="57"/>
      <c r="Y42" s="57"/>
      <c r="Z42" s="57"/>
      <c r="AA42" s="57"/>
      <c r="AB42" s="58"/>
      <c r="AC42" s="57"/>
      <c r="AD42" s="25"/>
      <c r="AE42" s="25"/>
      <c r="AF42" s="36" t="s">
        <v>9</v>
      </c>
      <c r="AG42" s="32">
        <v>5248.9066666666668</v>
      </c>
      <c r="AH42" s="2">
        <v>0</v>
      </c>
      <c r="AI42" s="30">
        <v>0</v>
      </c>
      <c r="AJ42" s="2">
        <v>1</v>
      </c>
      <c r="AK42" s="49">
        <v>100.09379889351362</v>
      </c>
      <c r="AL42" s="38">
        <v>3.8333333333333335</v>
      </c>
      <c r="AM42" s="16">
        <v>4333.0600000000004</v>
      </c>
      <c r="AN42" s="32">
        <v>5336.2366666666667</v>
      </c>
      <c r="AP42" s="36" t="s">
        <v>10</v>
      </c>
      <c r="AQ42" s="32">
        <v>5375.5133333333333</v>
      </c>
      <c r="AR42" s="2">
        <v>0</v>
      </c>
      <c r="AS42" s="30">
        <v>0</v>
      </c>
      <c r="AT42" s="2">
        <v>1</v>
      </c>
      <c r="AU42" s="49">
        <v>99.993705094620125</v>
      </c>
      <c r="AV42" s="38">
        <v>3.7333333333333329</v>
      </c>
      <c r="AW42" s="16">
        <v>4352.28</v>
      </c>
      <c r="AX42" s="32">
        <v>5248.9066666666668</v>
      </c>
    </row>
    <row r="43" spans="2:50" x14ac:dyDescent="0.25">
      <c r="B43" s="24" t="s">
        <v>10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58"/>
      <c r="X43" s="57"/>
      <c r="Y43" s="57"/>
      <c r="Z43" s="57"/>
      <c r="AA43" s="57"/>
      <c r="AB43" s="58"/>
      <c r="AC43" s="58"/>
      <c r="AD43" s="25"/>
      <c r="AE43" s="25"/>
      <c r="AF43" s="36" t="s">
        <v>10</v>
      </c>
      <c r="AG43" s="32">
        <v>5375.5133333333333</v>
      </c>
      <c r="AH43" s="2">
        <v>0</v>
      </c>
      <c r="AI43" s="30">
        <v>0</v>
      </c>
      <c r="AJ43" s="2">
        <v>1</v>
      </c>
      <c r="AK43" s="49">
        <v>99.993705094620125</v>
      </c>
      <c r="AL43" s="38">
        <v>3.7333333333333329</v>
      </c>
      <c r="AM43" s="16">
        <v>4352.28</v>
      </c>
      <c r="AN43" s="32">
        <v>5248.9066666666668</v>
      </c>
      <c r="AP43" s="36" t="s">
        <v>11</v>
      </c>
      <c r="AQ43" s="32">
        <v>5504.05</v>
      </c>
      <c r="AR43" s="2">
        <v>0</v>
      </c>
      <c r="AS43" s="30">
        <v>0</v>
      </c>
      <c r="AT43" s="2">
        <v>1</v>
      </c>
      <c r="AU43" s="49">
        <v>100.69366103028248</v>
      </c>
      <c r="AV43" s="38">
        <v>3.6333333333333333</v>
      </c>
      <c r="AW43" s="16">
        <v>4467.88</v>
      </c>
      <c r="AX43" s="32">
        <v>5375.5133333333333</v>
      </c>
    </row>
    <row r="44" spans="2:50" x14ac:dyDescent="0.25">
      <c r="B44" s="24" t="s">
        <v>11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58"/>
      <c r="X44" s="57"/>
      <c r="Y44" s="57"/>
      <c r="Z44" s="57"/>
      <c r="AA44" s="57"/>
      <c r="AB44" s="58"/>
      <c r="AC44" s="59"/>
      <c r="AD44" s="25"/>
      <c r="AE44" s="25"/>
      <c r="AF44" s="36" t="s">
        <v>11</v>
      </c>
      <c r="AG44" s="32">
        <v>5504.05</v>
      </c>
      <c r="AH44" s="2">
        <v>0</v>
      </c>
      <c r="AI44" s="30">
        <v>0</v>
      </c>
      <c r="AJ44" s="2">
        <v>1</v>
      </c>
      <c r="AK44" s="49">
        <v>100.69366103028248</v>
      </c>
      <c r="AL44" s="38">
        <v>3.6333333333333333</v>
      </c>
      <c r="AM44" s="16">
        <v>4467.88</v>
      </c>
      <c r="AN44" s="32">
        <v>5375.5133333333333</v>
      </c>
      <c r="AP44" s="36" t="s">
        <v>12</v>
      </c>
      <c r="AQ44" s="32">
        <v>5683.53</v>
      </c>
      <c r="AR44" s="2">
        <v>0</v>
      </c>
      <c r="AS44" s="30">
        <v>0</v>
      </c>
      <c r="AT44" s="2">
        <v>1</v>
      </c>
      <c r="AU44" s="49">
        <v>101.70059764058531</v>
      </c>
      <c r="AV44" s="38">
        <v>3.6</v>
      </c>
      <c r="AW44" s="16">
        <v>4697.92</v>
      </c>
      <c r="AX44" s="32">
        <v>5504.05</v>
      </c>
    </row>
    <row r="45" spans="2:50" x14ac:dyDescent="0.25">
      <c r="B45" s="24" t="s">
        <v>12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6"/>
      <c r="Y45" s="26"/>
      <c r="Z45" s="26"/>
      <c r="AA45" s="26"/>
      <c r="AB45" s="25"/>
      <c r="AC45" s="27"/>
      <c r="AD45" s="25"/>
      <c r="AE45" s="25"/>
      <c r="AF45" s="36" t="s">
        <v>12</v>
      </c>
      <c r="AG45" s="32">
        <v>5683.53</v>
      </c>
      <c r="AH45" s="2">
        <v>0</v>
      </c>
      <c r="AI45" s="30">
        <v>0</v>
      </c>
      <c r="AJ45" s="2">
        <v>1</v>
      </c>
      <c r="AK45" s="49">
        <v>101.70059764058531</v>
      </c>
      <c r="AL45" s="38">
        <v>3.6</v>
      </c>
      <c r="AM45" s="16">
        <v>4697.92</v>
      </c>
      <c r="AN45" s="32">
        <v>5504.05</v>
      </c>
      <c r="AP45" s="36" t="s">
        <v>13</v>
      </c>
      <c r="AQ45" s="32">
        <v>5872.2353333333331</v>
      </c>
      <c r="AR45" s="2">
        <v>0</v>
      </c>
      <c r="AS45" s="30">
        <v>0</v>
      </c>
      <c r="AT45" s="2">
        <v>1</v>
      </c>
      <c r="AU45" s="49">
        <v>102.10740003114766</v>
      </c>
      <c r="AV45" s="38">
        <v>3.4</v>
      </c>
      <c r="AW45" s="16">
        <v>4501.59</v>
      </c>
      <c r="AX45" s="32">
        <v>5683.53</v>
      </c>
    </row>
    <row r="46" spans="2:50" x14ac:dyDescent="0.25">
      <c r="B46" s="24" t="s">
        <v>13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6"/>
      <c r="Y46" s="26"/>
      <c r="Z46" s="26"/>
      <c r="AA46" s="26"/>
      <c r="AB46" s="25"/>
      <c r="AC46" s="27"/>
      <c r="AD46" s="25"/>
      <c r="AE46" s="25"/>
      <c r="AF46" s="36" t="s">
        <v>13</v>
      </c>
      <c r="AG46" s="32">
        <v>5872.2353333333331</v>
      </c>
      <c r="AH46" s="2">
        <v>0</v>
      </c>
      <c r="AI46" s="30">
        <v>0</v>
      </c>
      <c r="AJ46" s="2">
        <v>1</v>
      </c>
      <c r="AK46" s="49">
        <v>102.10740003114766</v>
      </c>
      <c r="AL46" s="38">
        <v>3.4</v>
      </c>
      <c r="AM46" s="16">
        <v>4501.59</v>
      </c>
      <c r="AN46" s="32">
        <v>5683.53</v>
      </c>
      <c r="AP46" s="36" t="s">
        <v>14</v>
      </c>
      <c r="AQ46" s="32">
        <v>6070.808</v>
      </c>
      <c r="AR46" s="2">
        <v>0</v>
      </c>
      <c r="AS46" s="30">
        <v>0</v>
      </c>
      <c r="AT46" s="2">
        <v>1</v>
      </c>
      <c r="AU46" s="49">
        <v>101.90318523108537</v>
      </c>
      <c r="AV46" s="38">
        <v>3.2666666666666671</v>
      </c>
      <c r="AW46" s="16">
        <v>4544.1400000000003</v>
      </c>
      <c r="AX46" s="32">
        <v>5872.2353333333331</v>
      </c>
    </row>
    <row r="47" spans="2:50" x14ac:dyDescent="0.25">
      <c r="B47" s="24" t="s">
        <v>14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6"/>
      <c r="Y47" s="26"/>
      <c r="Z47" s="26"/>
      <c r="AA47" s="26"/>
      <c r="AB47" s="25"/>
      <c r="AC47" s="27"/>
      <c r="AD47" s="25"/>
      <c r="AE47" s="25"/>
      <c r="AF47" s="36" t="s">
        <v>14</v>
      </c>
      <c r="AG47" s="32">
        <v>6070.808</v>
      </c>
      <c r="AH47" s="2">
        <v>0</v>
      </c>
      <c r="AI47" s="30">
        <v>0</v>
      </c>
      <c r="AJ47" s="2">
        <v>1</v>
      </c>
      <c r="AK47" s="49">
        <v>101.90318523108537</v>
      </c>
      <c r="AL47" s="38">
        <v>3.2666666666666671</v>
      </c>
      <c r="AM47" s="16">
        <v>4544.1400000000003</v>
      </c>
      <c r="AN47" s="32">
        <v>5872.2353333333331</v>
      </c>
      <c r="AP47" s="36" t="s">
        <v>15</v>
      </c>
      <c r="AQ47" s="32">
        <v>6176.4266666666663</v>
      </c>
      <c r="AR47" s="2">
        <v>0</v>
      </c>
      <c r="AS47" s="30">
        <v>0</v>
      </c>
      <c r="AT47" s="2">
        <v>1</v>
      </c>
      <c r="AU47" s="49">
        <v>102.92221708339623</v>
      </c>
      <c r="AV47" s="38">
        <v>2.9</v>
      </c>
      <c r="AW47" s="16">
        <v>4779.32</v>
      </c>
      <c r="AX47" s="32">
        <v>6070.808</v>
      </c>
    </row>
    <row r="48" spans="2:50" x14ac:dyDescent="0.25">
      <c r="B48" s="24" t="s">
        <v>15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6"/>
      <c r="Y48" s="26"/>
      <c r="Z48" s="26"/>
      <c r="AA48" s="26"/>
      <c r="AB48" s="25"/>
      <c r="AC48" s="27"/>
      <c r="AD48" s="25"/>
      <c r="AE48" s="25"/>
      <c r="AF48" s="36" t="s">
        <v>15</v>
      </c>
      <c r="AG48" s="32">
        <v>6176.4266666666663</v>
      </c>
      <c r="AH48" s="2">
        <v>0</v>
      </c>
      <c r="AI48" s="30">
        <v>0</v>
      </c>
      <c r="AJ48" s="2">
        <v>1</v>
      </c>
      <c r="AK48" s="49">
        <v>102.92221708339623</v>
      </c>
      <c r="AL48" s="38">
        <v>2.9</v>
      </c>
      <c r="AM48" s="16">
        <v>4779.32</v>
      </c>
      <c r="AN48" s="32">
        <v>6070.808</v>
      </c>
      <c r="AP48" s="36" t="s">
        <v>16</v>
      </c>
      <c r="AQ48" s="32">
        <v>6220.8483333333324</v>
      </c>
      <c r="AR48" s="2">
        <v>0</v>
      </c>
      <c r="AS48" s="30">
        <v>0</v>
      </c>
      <c r="AT48" s="2">
        <v>1</v>
      </c>
      <c r="AU48" s="49">
        <v>103.33390595172982</v>
      </c>
      <c r="AV48" s="38">
        <v>2.7999999999999994</v>
      </c>
      <c r="AW48" s="16">
        <v>4948.0600000000004</v>
      </c>
      <c r="AX48" s="32">
        <v>6176.4266666666663</v>
      </c>
    </row>
    <row r="49" spans="2:50" x14ac:dyDescent="0.25">
      <c r="B49" s="24" t="s">
        <v>16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6"/>
      <c r="Y49" s="26"/>
      <c r="Z49" s="26"/>
      <c r="AA49" s="26"/>
      <c r="AB49" s="25"/>
      <c r="AC49" s="27"/>
      <c r="AD49" s="25"/>
      <c r="AE49" s="25"/>
      <c r="AF49" s="36" t="s">
        <v>16</v>
      </c>
      <c r="AG49" s="32">
        <v>6220.8483333333324</v>
      </c>
      <c r="AH49" s="2">
        <v>0</v>
      </c>
      <c r="AI49" s="30">
        <v>0</v>
      </c>
      <c r="AJ49" s="2">
        <v>1</v>
      </c>
      <c r="AK49" s="49">
        <v>103.33390595172982</v>
      </c>
      <c r="AL49" s="38">
        <v>2.7999999999999994</v>
      </c>
      <c r="AM49" s="16">
        <v>4948.0600000000004</v>
      </c>
      <c r="AN49" s="32">
        <v>6176.4266666666663</v>
      </c>
      <c r="AP49" s="36" t="s">
        <v>17</v>
      </c>
      <c r="AQ49" s="32">
        <v>6518.3636666666671</v>
      </c>
      <c r="AR49" s="2">
        <v>0</v>
      </c>
      <c r="AS49" s="30">
        <v>0</v>
      </c>
      <c r="AT49" s="2">
        <v>1</v>
      </c>
      <c r="AU49" s="49">
        <v>104.26391110529539</v>
      </c>
      <c r="AV49" s="38">
        <v>2.6666666666666665</v>
      </c>
      <c r="AW49" s="16">
        <v>4762.92</v>
      </c>
      <c r="AX49" s="32">
        <v>6220.8483333333324</v>
      </c>
    </row>
    <row r="50" spans="2:50" x14ac:dyDescent="0.25">
      <c r="B50" s="24" t="s">
        <v>17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U50" s="25"/>
      <c r="V50" s="25"/>
      <c r="W50" s="25"/>
      <c r="X50" s="26"/>
      <c r="Y50" s="26"/>
      <c r="Z50" s="26"/>
      <c r="AA50" s="26"/>
      <c r="AB50" s="25"/>
      <c r="AC50" s="27"/>
      <c r="AD50" s="25"/>
      <c r="AE50" s="25"/>
      <c r="AF50" s="36" t="s">
        <v>17</v>
      </c>
      <c r="AG50" s="32">
        <v>6518.3636666666671</v>
      </c>
      <c r="AH50" s="2">
        <v>0</v>
      </c>
      <c r="AI50" s="30">
        <v>0</v>
      </c>
      <c r="AJ50" s="2">
        <v>1</v>
      </c>
      <c r="AK50" s="49">
        <v>104.26391110529539</v>
      </c>
      <c r="AL50" s="38">
        <v>2.6666666666666665</v>
      </c>
      <c r="AM50" s="16">
        <v>4762.92</v>
      </c>
      <c r="AN50" s="32">
        <v>6220.8483333333324</v>
      </c>
      <c r="AP50" s="36" t="s">
        <v>18</v>
      </c>
      <c r="AQ50" s="32">
        <v>6461.683</v>
      </c>
      <c r="AR50" s="2">
        <v>0</v>
      </c>
      <c r="AS50" s="30">
        <v>0</v>
      </c>
      <c r="AT50" s="2">
        <v>1</v>
      </c>
      <c r="AU50" s="49">
        <v>104.15964719419011</v>
      </c>
      <c r="AV50" s="38">
        <v>2.6</v>
      </c>
      <c r="AW50" s="16">
        <v>4868.6400000000003</v>
      </c>
      <c r="AX50" s="32">
        <v>6518.3636666666671</v>
      </c>
    </row>
    <row r="51" spans="2:50" x14ac:dyDescent="0.25">
      <c r="B51" s="24" t="s">
        <v>18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T51" s="25"/>
      <c r="U51" s="25"/>
      <c r="V51" s="25"/>
      <c r="W51" s="25"/>
      <c r="X51" s="26"/>
      <c r="Y51" s="26"/>
      <c r="Z51" s="26"/>
      <c r="AA51" s="26"/>
      <c r="AB51" s="25"/>
      <c r="AC51" s="27"/>
      <c r="AD51" s="25"/>
      <c r="AE51" s="25"/>
      <c r="AF51" s="36" t="s">
        <v>18</v>
      </c>
      <c r="AG51" s="32">
        <v>6461.683</v>
      </c>
      <c r="AH51" s="2">
        <v>0</v>
      </c>
      <c r="AI51" s="30">
        <v>0</v>
      </c>
      <c r="AJ51" s="2">
        <v>1</v>
      </c>
      <c r="AK51" s="49">
        <v>104.15964719419011</v>
      </c>
      <c r="AL51" s="38">
        <v>2.6</v>
      </c>
      <c r="AM51" s="16">
        <v>4868.6400000000003</v>
      </c>
      <c r="AN51" s="32">
        <v>6518.3636666666671</v>
      </c>
      <c r="AP51" s="36" t="s">
        <v>19</v>
      </c>
      <c r="AQ51" s="32">
        <v>6740.003333333334</v>
      </c>
      <c r="AR51" s="2">
        <v>0</v>
      </c>
      <c r="AS51" s="30">
        <v>0</v>
      </c>
      <c r="AT51" s="2">
        <v>1</v>
      </c>
      <c r="AU51" s="49">
        <v>104.57628578296688</v>
      </c>
      <c r="AV51" s="38">
        <v>2.6</v>
      </c>
      <c r="AW51" s="16">
        <v>5097.63</v>
      </c>
      <c r="AX51" s="32">
        <v>6461.683</v>
      </c>
    </row>
    <row r="52" spans="2:50" x14ac:dyDescent="0.25">
      <c r="B52" s="24" t="s">
        <v>19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T52" s="25"/>
      <c r="U52" s="25"/>
      <c r="V52" s="25"/>
      <c r="W52" s="25"/>
      <c r="X52" s="26"/>
      <c r="Y52" s="26"/>
      <c r="Z52" s="26"/>
      <c r="AA52" s="26"/>
      <c r="AB52" s="25"/>
      <c r="AC52" s="27"/>
      <c r="AD52" s="25"/>
      <c r="AE52" s="25"/>
      <c r="AF52" s="36" t="s">
        <v>19</v>
      </c>
      <c r="AG52" s="32">
        <v>6740.003333333334</v>
      </c>
      <c r="AH52" s="2">
        <v>0</v>
      </c>
      <c r="AI52" s="30">
        <v>0</v>
      </c>
      <c r="AJ52" s="2">
        <v>1</v>
      </c>
      <c r="AK52" s="49">
        <v>104.57628578296688</v>
      </c>
      <c r="AL52" s="38">
        <v>2.6</v>
      </c>
      <c r="AM52" s="16">
        <v>5097.63</v>
      </c>
      <c r="AN52" s="32">
        <v>6461.683</v>
      </c>
      <c r="AP52" s="36" t="s">
        <v>4</v>
      </c>
      <c r="AQ52" s="32">
        <v>6047.2950000000001</v>
      </c>
      <c r="AR52" s="2">
        <v>-1</v>
      </c>
      <c r="AS52" s="2">
        <v>-1</v>
      </c>
      <c r="AT52" s="2">
        <v>-1</v>
      </c>
      <c r="AU52" s="49">
        <v>100</v>
      </c>
      <c r="AV52" s="38">
        <v>5.7333333333333334</v>
      </c>
      <c r="AW52" s="16">
        <v>4376.7700000000004</v>
      </c>
      <c r="AX52" s="32">
        <v>6740.003333333334</v>
      </c>
    </row>
    <row r="53" spans="2:50" x14ac:dyDescent="0.25">
      <c r="B53" s="41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T53" s="25"/>
      <c r="U53" s="25"/>
      <c r="V53" s="25"/>
      <c r="W53" s="25"/>
      <c r="X53" s="26"/>
      <c r="Y53" s="26"/>
      <c r="Z53" s="26"/>
      <c r="AA53" s="26"/>
      <c r="AB53" s="25"/>
      <c r="AC53" s="27"/>
      <c r="AD53" s="25"/>
      <c r="AE53" s="25"/>
      <c r="AF53" s="36" t="s">
        <v>4</v>
      </c>
      <c r="AG53" s="32">
        <v>6047.2950000000001</v>
      </c>
      <c r="AH53" s="2">
        <v>-1</v>
      </c>
      <c r="AI53" s="2">
        <v>-1</v>
      </c>
      <c r="AJ53" s="2">
        <v>-1</v>
      </c>
      <c r="AK53" s="49">
        <v>100</v>
      </c>
      <c r="AL53" s="38">
        <v>5.7333333333333334</v>
      </c>
      <c r="AM53" s="16">
        <v>4376.7700000000004</v>
      </c>
      <c r="AN53" s="32">
        <v>6740.003333333334</v>
      </c>
      <c r="AP53" s="36" t="s">
        <v>5</v>
      </c>
      <c r="AQ53" s="32">
        <v>5724.71</v>
      </c>
      <c r="AR53" s="2">
        <v>-1</v>
      </c>
      <c r="AS53" s="2">
        <v>-1</v>
      </c>
      <c r="AT53" s="2">
        <v>-1</v>
      </c>
      <c r="AU53" s="49">
        <v>100.6</v>
      </c>
      <c r="AV53" s="38">
        <v>5.333333333333333</v>
      </c>
      <c r="AW53" s="16">
        <v>4128.8900000000003</v>
      </c>
      <c r="AX53" s="32">
        <v>6047.2950000000001</v>
      </c>
    </row>
    <row r="54" spans="2:50" x14ac:dyDescent="0.25">
      <c r="B54" s="41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T54" s="25"/>
      <c r="U54" s="25"/>
      <c r="V54" s="25"/>
      <c r="W54" s="25"/>
      <c r="X54" s="26"/>
      <c r="Y54" s="26"/>
      <c r="Z54" s="26"/>
      <c r="AA54" s="26"/>
      <c r="AB54" s="25"/>
      <c r="AC54" s="27"/>
      <c r="AD54" s="25"/>
      <c r="AE54" s="25"/>
      <c r="AF54" s="36" t="s">
        <v>5</v>
      </c>
      <c r="AG54" s="32">
        <v>5724.71</v>
      </c>
      <c r="AH54" s="2">
        <v>-1</v>
      </c>
      <c r="AI54" s="2">
        <v>-1</v>
      </c>
      <c r="AJ54" s="2">
        <v>-1</v>
      </c>
      <c r="AK54" s="49">
        <v>100.6</v>
      </c>
      <c r="AL54" s="38">
        <v>5.333333333333333</v>
      </c>
      <c r="AM54" s="16">
        <v>4128.8900000000003</v>
      </c>
      <c r="AN54" s="32">
        <v>6047.2950000000001</v>
      </c>
      <c r="AP54" s="36" t="s">
        <v>6</v>
      </c>
      <c r="AQ54" s="32">
        <v>5676.63</v>
      </c>
      <c r="AR54" s="2">
        <v>-1</v>
      </c>
      <c r="AS54" s="2">
        <v>-1</v>
      </c>
      <c r="AT54" s="2">
        <v>-1</v>
      </c>
      <c r="AU54" s="49">
        <v>100.19759999999999</v>
      </c>
      <c r="AV54" s="38">
        <v>4.666666666666667</v>
      </c>
      <c r="AW54" s="16">
        <v>4193.17</v>
      </c>
      <c r="AX54" s="32">
        <v>5724.71</v>
      </c>
    </row>
    <row r="55" spans="2:50" x14ac:dyDescent="0.25">
      <c r="B55" s="41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T55" s="25"/>
      <c r="U55" s="25"/>
      <c r="V55" s="25"/>
      <c r="W55" s="25"/>
      <c r="X55" s="26"/>
      <c r="Y55" s="26"/>
      <c r="Z55" s="26"/>
      <c r="AA55" s="26"/>
      <c r="AB55" s="25"/>
      <c r="AC55" s="27"/>
      <c r="AD55" s="25"/>
      <c r="AE55" s="25"/>
      <c r="AF55" s="36" t="s">
        <v>6</v>
      </c>
      <c r="AG55" s="32">
        <v>5676.63</v>
      </c>
      <c r="AH55" s="2">
        <v>-1</v>
      </c>
      <c r="AI55" s="2">
        <v>-1</v>
      </c>
      <c r="AJ55" s="2">
        <v>-1</v>
      </c>
      <c r="AK55" s="49">
        <v>100.19759999999999</v>
      </c>
      <c r="AL55" s="38">
        <v>4.666666666666667</v>
      </c>
      <c r="AM55" s="16">
        <v>4193.17</v>
      </c>
      <c r="AN55" s="32">
        <v>5724.71</v>
      </c>
      <c r="AP55" s="36" t="s">
        <v>7</v>
      </c>
      <c r="AQ55" s="32">
        <v>5385.8549999999996</v>
      </c>
      <c r="AR55" s="2">
        <v>-1</v>
      </c>
      <c r="AS55" s="2">
        <v>-1</v>
      </c>
      <c r="AT55" s="2">
        <v>-1</v>
      </c>
      <c r="AU55" s="49">
        <v>100.09740240000001</v>
      </c>
      <c r="AV55" s="38">
        <v>4.2</v>
      </c>
      <c r="AW55" s="16">
        <v>4350</v>
      </c>
      <c r="AX55" s="32">
        <v>5676.63</v>
      </c>
    </row>
    <row r="56" spans="2:50" x14ac:dyDescent="0.25">
      <c r="B56" s="41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T56" s="25"/>
      <c r="U56" s="25"/>
      <c r="V56" s="25"/>
      <c r="W56" s="25"/>
      <c r="X56" s="26"/>
      <c r="Y56" s="26"/>
      <c r="Z56" s="26"/>
      <c r="AA56" s="26"/>
      <c r="AB56" s="25"/>
      <c r="AC56" s="27"/>
      <c r="AD56" s="25"/>
      <c r="AE56" s="25"/>
      <c r="AF56" s="36" t="s">
        <v>7</v>
      </c>
      <c r="AG56" s="32">
        <v>5385.8549999999996</v>
      </c>
      <c r="AH56" s="2">
        <v>-1</v>
      </c>
      <c r="AI56" s="2">
        <v>-1</v>
      </c>
      <c r="AJ56" s="2">
        <v>-1</v>
      </c>
      <c r="AK56" s="49">
        <v>100.09740240000001</v>
      </c>
      <c r="AL56" s="38">
        <v>4.2</v>
      </c>
      <c r="AM56" s="16">
        <v>4350</v>
      </c>
      <c r="AN56" s="32">
        <v>5676.63</v>
      </c>
      <c r="AP56" s="36" t="s">
        <v>8</v>
      </c>
      <c r="AQ56" s="32">
        <v>5420.71</v>
      </c>
      <c r="AR56" s="2">
        <v>-1</v>
      </c>
      <c r="AS56" s="2">
        <v>-1</v>
      </c>
      <c r="AT56" s="2">
        <v>-1</v>
      </c>
      <c r="AU56" s="49">
        <v>99.496817985600018</v>
      </c>
      <c r="AV56" s="38">
        <v>4.166666666666667</v>
      </c>
      <c r="AW56" s="16">
        <v>4491.63</v>
      </c>
      <c r="AX56" s="32">
        <v>5385.8549999999996</v>
      </c>
    </row>
    <row r="57" spans="2:50" x14ac:dyDescent="0.25">
      <c r="B57" s="41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T57" s="25"/>
      <c r="U57" s="25"/>
      <c r="V57" s="25"/>
      <c r="W57" s="25"/>
      <c r="X57" s="26"/>
      <c r="Y57" s="26"/>
      <c r="Z57" s="26"/>
      <c r="AA57" s="26"/>
      <c r="AB57" s="25"/>
      <c r="AC57" s="27"/>
      <c r="AD57" s="25"/>
      <c r="AE57" s="25"/>
      <c r="AF57" s="36" t="s">
        <v>8</v>
      </c>
      <c r="AG57" s="32">
        <v>5420.71</v>
      </c>
      <c r="AH57" s="2">
        <v>-1</v>
      </c>
      <c r="AI57" s="2">
        <v>-1</v>
      </c>
      <c r="AJ57" s="2">
        <v>-1</v>
      </c>
      <c r="AK57" s="49">
        <v>99.496817985600018</v>
      </c>
      <c r="AL57" s="38">
        <v>4.166666666666667</v>
      </c>
      <c r="AM57" s="16">
        <v>4491.63</v>
      </c>
      <c r="AN57" s="32">
        <v>5385.8549999999996</v>
      </c>
      <c r="AP57" s="36" t="s">
        <v>9</v>
      </c>
      <c r="AQ57" s="32">
        <v>5394.17</v>
      </c>
      <c r="AR57" s="2">
        <v>-1</v>
      </c>
      <c r="AS57" s="2">
        <v>-1</v>
      </c>
      <c r="AT57" s="2">
        <v>-1</v>
      </c>
      <c r="AU57" s="49">
        <v>100.09379889351362</v>
      </c>
      <c r="AV57" s="38">
        <v>3.8333333333333335</v>
      </c>
      <c r="AW57" s="16">
        <v>4333.0600000000004</v>
      </c>
      <c r="AX57" s="32">
        <v>5420.71</v>
      </c>
    </row>
    <row r="58" spans="2:50" x14ac:dyDescent="0.25">
      <c r="B58" s="41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6"/>
      <c r="Y58" s="26"/>
      <c r="Z58" s="26"/>
      <c r="AA58" s="26"/>
      <c r="AB58" s="25"/>
      <c r="AC58" s="27"/>
      <c r="AD58" s="25"/>
      <c r="AE58" s="25"/>
      <c r="AF58" s="36" t="s">
        <v>9</v>
      </c>
      <c r="AG58" s="32">
        <v>5394.17</v>
      </c>
      <c r="AH58" s="2">
        <v>-1</v>
      </c>
      <c r="AI58" s="2">
        <v>-1</v>
      </c>
      <c r="AJ58" s="2">
        <v>-1</v>
      </c>
      <c r="AK58" s="49">
        <v>100.09379889351362</v>
      </c>
      <c r="AL58" s="38">
        <v>3.8333333333333335</v>
      </c>
      <c r="AM58" s="16">
        <v>4333.0600000000004</v>
      </c>
      <c r="AN58" s="32">
        <v>5420.71</v>
      </c>
      <c r="AP58" s="36" t="s">
        <v>10</v>
      </c>
      <c r="AQ58" s="32">
        <v>5540.9249999999993</v>
      </c>
      <c r="AR58" s="2">
        <v>-1</v>
      </c>
      <c r="AS58" s="2">
        <v>-1</v>
      </c>
      <c r="AT58" s="2">
        <v>-1</v>
      </c>
      <c r="AU58" s="49">
        <v>99.993705094620125</v>
      </c>
      <c r="AV58" s="38">
        <v>3.7333333333333329</v>
      </c>
      <c r="AW58" s="16">
        <v>4352.28</v>
      </c>
      <c r="AX58" s="32">
        <v>5394.17</v>
      </c>
    </row>
    <row r="59" spans="2:50" x14ac:dyDescent="0.25">
      <c r="B59" s="41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6"/>
      <c r="Y59" s="26"/>
      <c r="Z59" s="26"/>
      <c r="AA59" s="26"/>
      <c r="AB59" s="25"/>
      <c r="AC59" s="27"/>
      <c r="AD59" s="25"/>
      <c r="AE59" s="25"/>
      <c r="AF59" s="36" t="s">
        <v>10</v>
      </c>
      <c r="AG59" s="32">
        <v>5540.9249999999993</v>
      </c>
      <c r="AH59" s="2">
        <v>-1</v>
      </c>
      <c r="AI59" s="2">
        <v>-1</v>
      </c>
      <c r="AJ59" s="2">
        <v>-1</v>
      </c>
      <c r="AK59" s="49">
        <v>99.993705094620125</v>
      </c>
      <c r="AL59" s="38">
        <v>3.7333333333333329</v>
      </c>
      <c r="AM59" s="16">
        <v>4352.28</v>
      </c>
      <c r="AN59" s="32">
        <v>5394.17</v>
      </c>
      <c r="AP59" s="36" t="s">
        <v>11</v>
      </c>
      <c r="AQ59" s="32">
        <v>5670.49</v>
      </c>
      <c r="AR59" s="2">
        <v>-1</v>
      </c>
      <c r="AS59" s="2">
        <v>-1</v>
      </c>
      <c r="AT59" s="2">
        <v>-1</v>
      </c>
      <c r="AU59" s="49">
        <v>100.69366103028248</v>
      </c>
      <c r="AV59" s="38">
        <v>3.6333333333333333</v>
      </c>
      <c r="AW59" s="16">
        <v>4467.88</v>
      </c>
      <c r="AX59" s="32">
        <v>5540.9249999999993</v>
      </c>
    </row>
    <row r="60" spans="2:50" x14ac:dyDescent="0.25">
      <c r="B60" s="41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6"/>
      <c r="Y60" s="26"/>
      <c r="Z60" s="26"/>
      <c r="AA60" s="26"/>
      <c r="AB60" s="25"/>
      <c r="AC60" s="27"/>
      <c r="AD60" s="25"/>
      <c r="AE60" s="25"/>
      <c r="AF60" s="36" t="s">
        <v>11</v>
      </c>
      <c r="AG60" s="32">
        <v>5670.49</v>
      </c>
      <c r="AH60" s="2">
        <v>-1</v>
      </c>
      <c r="AI60" s="2">
        <v>-1</v>
      </c>
      <c r="AJ60" s="2">
        <v>-1</v>
      </c>
      <c r="AK60" s="49">
        <v>100.69366103028248</v>
      </c>
      <c r="AL60" s="38">
        <v>3.6333333333333333</v>
      </c>
      <c r="AM60" s="16">
        <v>4467.88</v>
      </c>
      <c r="AN60" s="32">
        <v>5540.9249999999993</v>
      </c>
      <c r="AP60" s="36" t="s">
        <v>12</v>
      </c>
      <c r="AQ60" s="32">
        <v>5855.8649999999998</v>
      </c>
      <c r="AR60" s="2">
        <v>-1</v>
      </c>
      <c r="AS60" s="2">
        <v>-1</v>
      </c>
      <c r="AT60" s="2">
        <v>-1</v>
      </c>
      <c r="AU60" s="49">
        <v>101.70059764058531</v>
      </c>
      <c r="AV60" s="38">
        <v>3.6</v>
      </c>
      <c r="AW60" s="16">
        <v>4697.92</v>
      </c>
      <c r="AX60" s="32">
        <v>5670.49</v>
      </c>
    </row>
    <row r="61" spans="2:50" x14ac:dyDescent="0.25">
      <c r="B61" s="41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6"/>
      <c r="Y61" s="26"/>
      <c r="Z61" s="26"/>
      <c r="AA61" s="26"/>
      <c r="AB61" s="25"/>
      <c r="AC61" s="27"/>
      <c r="AD61" s="25"/>
      <c r="AE61" s="25"/>
      <c r="AF61" s="36" t="s">
        <v>12</v>
      </c>
      <c r="AG61" s="32">
        <v>5855.8649999999998</v>
      </c>
      <c r="AH61" s="2">
        <v>-1</v>
      </c>
      <c r="AI61" s="2">
        <v>-1</v>
      </c>
      <c r="AJ61" s="2">
        <v>-1</v>
      </c>
      <c r="AK61" s="49">
        <v>101.70059764058531</v>
      </c>
      <c r="AL61" s="38">
        <v>3.6</v>
      </c>
      <c r="AM61" s="16">
        <v>4697.92</v>
      </c>
      <c r="AN61" s="32">
        <v>5670.49</v>
      </c>
      <c r="AP61" s="36" t="s">
        <v>13</v>
      </c>
      <c r="AQ61" s="32">
        <v>5689.732</v>
      </c>
      <c r="AR61" s="2">
        <v>-1</v>
      </c>
      <c r="AS61" s="2">
        <v>-1</v>
      </c>
      <c r="AT61" s="2">
        <v>-1</v>
      </c>
      <c r="AU61" s="49">
        <v>102.10740003114766</v>
      </c>
      <c r="AV61" s="38">
        <v>3.4</v>
      </c>
      <c r="AW61" s="16">
        <v>4501.59</v>
      </c>
      <c r="AX61" s="32">
        <v>5855.8649999999998</v>
      </c>
    </row>
    <row r="62" spans="2:50" x14ac:dyDescent="0.25">
      <c r="B62" s="41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6"/>
      <c r="Y62" s="26"/>
      <c r="Z62" s="26"/>
      <c r="AA62" s="26"/>
      <c r="AB62" s="25"/>
      <c r="AC62" s="27"/>
      <c r="AD62" s="25"/>
      <c r="AE62" s="25"/>
      <c r="AF62" s="36" t="s">
        <v>13</v>
      </c>
      <c r="AG62" s="32">
        <v>5689.732</v>
      </c>
      <c r="AH62" s="2">
        <v>-1</v>
      </c>
      <c r="AI62" s="2">
        <v>-1</v>
      </c>
      <c r="AJ62" s="2">
        <v>-1</v>
      </c>
      <c r="AK62" s="49">
        <v>102.10740003114766</v>
      </c>
      <c r="AL62" s="38">
        <v>3.4</v>
      </c>
      <c r="AM62" s="16">
        <v>4501.59</v>
      </c>
      <c r="AN62" s="32">
        <v>5855.8649999999998</v>
      </c>
      <c r="AP62" s="36" t="s">
        <v>14</v>
      </c>
      <c r="AQ62" s="32">
        <v>5740.45</v>
      </c>
      <c r="AR62" s="2">
        <v>-1</v>
      </c>
      <c r="AS62" s="2">
        <v>-1</v>
      </c>
      <c r="AT62" s="2">
        <v>-1</v>
      </c>
      <c r="AU62" s="49">
        <v>101.90318523108537</v>
      </c>
      <c r="AV62" s="38">
        <v>3.2666666666666671</v>
      </c>
      <c r="AW62" s="16">
        <v>4544.1400000000003</v>
      </c>
      <c r="AX62" s="32">
        <v>5689.732</v>
      </c>
    </row>
    <row r="63" spans="2:50" x14ac:dyDescent="0.25">
      <c r="B63" s="41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6"/>
      <c r="Y63" s="26"/>
      <c r="Z63" s="26"/>
      <c r="AA63" s="26"/>
      <c r="AB63" s="25"/>
      <c r="AC63" s="27"/>
      <c r="AD63" s="25"/>
      <c r="AE63" s="25"/>
      <c r="AF63" s="36" t="s">
        <v>14</v>
      </c>
      <c r="AG63" s="32">
        <v>5740.45</v>
      </c>
      <c r="AH63" s="2">
        <v>-1</v>
      </c>
      <c r="AI63" s="2">
        <v>-1</v>
      </c>
      <c r="AJ63" s="2">
        <v>-1</v>
      </c>
      <c r="AK63" s="49">
        <v>101.90318523108537</v>
      </c>
      <c r="AL63" s="38">
        <v>3.2666666666666671</v>
      </c>
      <c r="AM63" s="16">
        <v>4544.1400000000003</v>
      </c>
      <c r="AN63" s="32">
        <v>5689.732</v>
      </c>
      <c r="AP63" s="36" t="s">
        <v>15</v>
      </c>
      <c r="AQ63" s="32">
        <v>5959.8099999999995</v>
      </c>
      <c r="AR63" s="2">
        <v>-1</v>
      </c>
      <c r="AS63" s="2">
        <v>-1</v>
      </c>
      <c r="AT63" s="2">
        <v>-1</v>
      </c>
      <c r="AU63" s="49">
        <v>102.92221708339623</v>
      </c>
      <c r="AV63" s="38">
        <v>2.9</v>
      </c>
      <c r="AW63" s="16">
        <v>4779.32</v>
      </c>
      <c r="AX63" s="32">
        <v>5740.45</v>
      </c>
    </row>
    <row r="64" spans="2:50" x14ac:dyDescent="0.25">
      <c r="B64" s="41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6"/>
      <c r="Y64" s="26"/>
      <c r="Z64" s="26"/>
      <c r="AA64" s="26"/>
      <c r="AB64" s="25"/>
      <c r="AC64" s="27"/>
      <c r="AD64" s="25"/>
      <c r="AE64" s="25"/>
      <c r="AF64" s="36" t="s">
        <v>15</v>
      </c>
      <c r="AG64" s="32">
        <v>5959.8099999999995</v>
      </c>
      <c r="AH64" s="2">
        <v>-1</v>
      </c>
      <c r="AI64" s="2">
        <v>-1</v>
      </c>
      <c r="AJ64" s="2">
        <v>-1</v>
      </c>
      <c r="AK64" s="49">
        <v>102.92221708339623</v>
      </c>
      <c r="AL64" s="38">
        <v>2.9</v>
      </c>
      <c r="AM64" s="16">
        <v>4779.32</v>
      </c>
      <c r="AN64" s="32">
        <v>5740.45</v>
      </c>
      <c r="AP64" s="36" t="s">
        <v>16</v>
      </c>
      <c r="AQ64" s="32">
        <v>6250.4135000000006</v>
      </c>
      <c r="AR64" s="2">
        <v>-1</v>
      </c>
      <c r="AS64" s="2">
        <v>-1</v>
      </c>
      <c r="AT64" s="2">
        <v>-1</v>
      </c>
      <c r="AU64" s="49">
        <v>103.33390595172982</v>
      </c>
      <c r="AV64" s="38">
        <v>2.7999999999999994</v>
      </c>
      <c r="AW64" s="16">
        <v>4948.0600000000004</v>
      </c>
      <c r="AX64" s="32">
        <v>5959.8099999999995</v>
      </c>
    </row>
    <row r="65" spans="2:50" x14ac:dyDescent="0.25">
      <c r="B65" s="41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6"/>
      <c r="Y65" s="26"/>
      <c r="Z65" s="26"/>
      <c r="AA65" s="26"/>
      <c r="AB65" s="25"/>
      <c r="AC65" s="27"/>
      <c r="AD65" s="25"/>
      <c r="AE65" s="25"/>
      <c r="AF65" s="36" t="s">
        <v>16</v>
      </c>
      <c r="AG65" s="32">
        <v>6250.4135000000006</v>
      </c>
      <c r="AH65" s="2">
        <v>-1</v>
      </c>
      <c r="AI65" s="2">
        <v>-1</v>
      </c>
      <c r="AJ65" s="2">
        <v>-1</v>
      </c>
      <c r="AK65" s="49">
        <v>103.33390595172982</v>
      </c>
      <c r="AL65" s="38">
        <v>2.7999999999999994</v>
      </c>
      <c r="AM65" s="16">
        <v>4948.0600000000004</v>
      </c>
      <c r="AN65" s="32">
        <v>5959.8099999999995</v>
      </c>
      <c r="AP65" s="36" t="s">
        <v>17</v>
      </c>
      <c r="AQ65" s="32">
        <v>6517.0550000000003</v>
      </c>
      <c r="AR65" s="2">
        <v>-1</v>
      </c>
      <c r="AS65" s="2">
        <v>-1</v>
      </c>
      <c r="AT65" s="2">
        <v>-1</v>
      </c>
      <c r="AU65" s="49">
        <v>104.26391110529539</v>
      </c>
      <c r="AV65" s="38">
        <v>2.6666666666666665</v>
      </c>
      <c r="AW65" s="16">
        <v>4762.92</v>
      </c>
      <c r="AX65" s="32">
        <v>6250.4135000000006</v>
      </c>
    </row>
    <row r="66" spans="2:50" x14ac:dyDescent="0.25">
      <c r="B66" s="41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6"/>
      <c r="Y66" s="26"/>
      <c r="Z66" s="26"/>
      <c r="AA66" s="26"/>
      <c r="AB66" s="25"/>
      <c r="AC66" s="27"/>
      <c r="AD66" s="25"/>
      <c r="AE66" s="25"/>
      <c r="AF66" s="36" t="s">
        <v>17</v>
      </c>
      <c r="AG66" s="32">
        <v>6517.0550000000003</v>
      </c>
      <c r="AH66" s="2">
        <v>-1</v>
      </c>
      <c r="AI66" s="2">
        <v>-1</v>
      </c>
      <c r="AJ66" s="2">
        <v>-1</v>
      </c>
      <c r="AK66" s="49">
        <v>104.26391110529539</v>
      </c>
      <c r="AL66" s="38">
        <v>2.6666666666666665</v>
      </c>
      <c r="AM66" s="16">
        <v>4762.92</v>
      </c>
      <c r="AN66" s="32">
        <v>6250.4135000000006</v>
      </c>
      <c r="AP66" s="36" t="s">
        <v>18</v>
      </c>
      <c r="AQ66" s="32">
        <v>6877.8559999999998</v>
      </c>
      <c r="AR66" s="2">
        <v>-1</v>
      </c>
      <c r="AS66" s="2">
        <v>-1</v>
      </c>
      <c r="AT66" s="2">
        <v>-1</v>
      </c>
      <c r="AU66" s="49">
        <v>104.15964719419011</v>
      </c>
      <c r="AV66" s="38">
        <v>2.6</v>
      </c>
      <c r="AW66" s="16">
        <v>4868.6400000000003</v>
      </c>
      <c r="AX66" s="32">
        <v>6517.0550000000003</v>
      </c>
    </row>
    <row r="67" spans="2:50" x14ac:dyDescent="0.25">
      <c r="B67" s="41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6"/>
      <c r="Y67" s="26"/>
      <c r="Z67" s="26"/>
      <c r="AA67" s="26"/>
      <c r="AB67" s="25"/>
      <c r="AC67" s="27"/>
      <c r="AD67" s="25"/>
      <c r="AE67" s="25"/>
      <c r="AF67" s="36" t="s">
        <v>18</v>
      </c>
      <c r="AG67" s="32">
        <v>6877.8559999999998</v>
      </c>
      <c r="AH67" s="2">
        <v>-1</v>
      </c>
      <c r="AI67" s="2">
        <v>-1</v>
      </c>
      <c r="AJ67" s="2">
        <v>-1</v>
      </c>
      <c r="AK67" s="49">
        <v>104.15964719419011</v>
      </c>
      <c r="AL67" s="38">
        <v>2.6</v>
      </c>
      <c r="AM67" s="16">
        <v>4868.6400000000003</v>
      </c>
      <c r="AN67" s="32">
        <v>6517.0550000000003</v>
      </c>
      <c r="AP67" s="36" t="s">
        <v>19</v>
      </c>
      <c r="AQ67" s="32">
        <v>6893.2250000000004</v>
      </c>
      <c r="AR67" s="2">
        <v>-1</v>
      </c>
      <c r="AS67" s="2">
        <v>-1</v>
      </c>
      <c r="AT67" s="2">
        <v>-1</v>
      </c>
      <c r="AU67" s="49">
        <v>104.57628578296688</v>
      </c>
      <c r="AV67" s="38">
        <v>2.6</v>
      </c>
      <c r="AW67" s="16">
        <v>5097.63</v>
      </c>
      <c r="AX67" s="32">
        <v>6877.8559999999998</v>
      </c>
    </row>
    <row r="68" spans="2:50" x14ac:dyDescent="0.25">
      <c r="B68" s="41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6"/>
      <c r="Y68" s="26"/>
      <c r="Z68" s="26"/>
      <c r="AA68" s="26"/>
      <c r="AB68" s="25"/>
      <c r="AC68" s="27"/>
      <c r="AD68" s="25"/>
      <c r="AE68" s="25"/>
      <c r="AF68" s="36" t="s">
        <v>19</v>
      </c>
      <c r="AG68" s="32">
        <v>6893.2250000000004</v>
      </c>
      <c r="AH68" s="2">
        <v>-1</v>
      </c>
      <c r="AI68" s="2">
        <v>-1</v>
      </c>
      <c r="AJ68" s="2">
        <v>-1</v>
      </c>
      <c r="AK68" s="49">
        <v>104.57628578296688</v>
      </c>
      <c r="AL68" s="38">
        <v>2.6</v>
      </c>
      <c r="AM68" s="16">
        <v>5097.63</v>
      </c>
      <c r="AN68" s="32">
        <v>6877.8559999999998</v>
      </c>
    </row>
    <row r="69" spans="2:50" x14ac:dyDescent="0.25">
      <c r="B69" s="41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6"/>
      <c r="Y69" s="26"/>
      <c r="Z69" s="26"/>
      <c r="AA69" s="26"/>
      <c r="AB69" s="25"/>
      <c r="AC69" s="27"/>
      <c r="AD69" s="25"/>
      <c r="AE69" s="25"/>
      <c r="AF69" s="41"/>
      <c r="AG69" s="42"/>
      <c r="AH69" s="43"/>
      <c r="AI69" s="43"/>
      <c r="AJ69" s="43"/>
      <c r="AK69" s="26"/>
      <c r="AL69" s="26"/>
      <c r="AM69" s="27"/>
    </row>
    <row r="70" spans="2:50" s="4" customFormat="1" x14ac:dyDescent="0.25">
      <c r="B70" s="9" t="s">
        <v>1</v>
      </c>
      <c r="AE70" s="45"/>
      <c r="AF70" s="9" t="s">
        <v>1</v>
      </c>
      <c r="AG70" s="9" t="s">
        <v>1</v>
      </c>
    </row>
    <row r="71" spans="2:50" ht="105" x14ac:dyDescent="0.25">
      <c r="B71" s="11" t="s">
        <v>25</v>
      </c>
      <c r="C71" s="20" t="s">
        <v>26</v>
      </c>
      <c r="D71" s="20" t="s">
        <v>27</v>
      </c>
      <c r="E71" s="20" t="s">
        <v>28</v>
      </c>
      <c r="F71" s="20" t="s">
        <v>36</v>
      </c>
      <c r="G71" s="20" t="s">
        <v>37</v>
      </c>
      <c r="H71" s="21"/>
      <c r="I71" s="20" t="s">
        <v>29</v>
      </c>
      <c r="J71" s="12" t="s">
        <v>30</v>
      </c>
      <c r="K71" s="12" t="s">
        <v>31</v>
      </c>
      <c r="L71" s="12" t="s">
        <v>32</v>
      </c>
      <c r="M71" s="20" t="s">
        <v>38</v>
      </c>
      <c r="N71" s="20" t="s">
        <v>39</v>
      </c>
      <c r="O71" s="20" t="s">
        <v>40</v>
      </c>
      <c r="P71" s="35"/>
      <c r="Q71" s="20" t="s">
        <v>41</v>
      </c>
      <c r="R71" s="20" t="s">
        <v>42</v>
      </c>
      <c r="S71" s="20" t="s">
        <v>43</v>
      </c>
      <c r="T71" s="23"/>
      <c r="U71" s="20" t="s">
        <v>44</v>
      </c>
      <c r="V71" s="20" t="s">
        <v>45</v>
      </c>
      <c r="W71" s="22"/>
      <c r="X71" s="20" t="s">
        <v>46</v>
      </c>
      <c r="Y71" s="35"/>
      <c r="Z71" s="35"/>
      <c r="AA71" s="20" t="s">
        <v>33</v>
      </c>
      <c r="AB71" s="20" t="s">
        <v>34</v>
      </c>
      <c r="AC71" s="6" t="s">
        <v>47</v>
      </c>
      <c r="AD71" s="37" t="s">
        <v>35</v>
      </c>
      <c r="AE71" s="34"/>
      <c r="AF71" s="51" t="s">
        <v>138</v>
      </c>
      <c r="AP71" s="51" t="s">
        <v>139</v>
      </c>
    </row>
    <row r="72" spans="2:50" x14ac:dyDescent="0.25">
      <c r="B72" s="11" t="s">
        <v>107</v>
      </c>
      <c r="C72" s="20" t="s">
        <v>128</v>
      </c>
      <c r="D72" s="20" t="s">
        <v>122</v>
      </c>
      <c r="E72" s="20" t="s">
        <v>123</v>
      </c>
      <c r="F72" s="20" t="s">
        <v>124</v>
      </c>
      <c r="G72" s="20" t="s">
        <v>125</v>
      </c>
      <c r="H72" s="39" t="s">
        <v>130</v>
      </c>
      <c r="I72" s="20" t="s">
        <v>110</v>
      </c>
      <c r="J72" s="12" t="s">
        <v>108</v>
      </c>
      <c r="K72" s="12" t="s">
        <v>109</v>
      </c>
      <c r="L72" s="12" t="s">
        <v>111</v>
      </c>
      <c r="M72" s="39" t="s">
        <v>112</v>
      </c>
      <c r="N72" s="20" t="s">
        <v>113</v>
      </c>
      <c r="O72" s="20" t="s">
        <v>114</v>
      </c>
      <c r="P72" s="39" t="s">
        <v>135</v>
      </c>
      <c r="Q72" s="20" t="s">
        <v>115</v>
      </c>
      <c r="R72" s="20" t="s">
        <v>116</v>
      </c>
      <c r="S72" s="20" t="s">
        <v>117</v>
      </c>
      <c r="T72" s="39" t="s">
        <v>136</v>
      </c>
      <c r="U72" s="20" t="s">
        <v>118</v>
      </c>
      <c r="V72" s="20" t="s">
        <v>119</v>
      </c>
      <c r="W72" s="39" t="s">
        <v>131</v>
      </c>
      <c r="X72" s="20" t="s">
        <v>120</v>
      </c>
      <c r="Y72" s="35" t="s">
        <v>133</v>
      </c>
      <c r="Z72" s="39" t="s">
        <v>134</v>
      </c>
      <c r="AA72" s="39" t="s">
        <v>121</v>
      </c>
      <c r="AB72" s="39" t="s">
        <v>129</v>
      </c>
      <c r="AC72" s="48" t="s">
        <v>127</v>
      </c>
      <c r="AD72" s="37" t="s">
        <v>126</v>
      </c>
      <c r="AE72" s="34"/>
      <c r="AF72" s="47" t="s">
        <v>107</v>
      </c>
      <c r="AG72" s="31" t="s">
        <v>146</v>
      </c>
      <c r="AH72" s="36" t="s">
        <v>140</v>
      </c>
      <c r="AI72" s="36" t="s">
        <v>141</v>
      </c>
      <c r="AJ72" s="36" t="s">
        <v>142</v>
      </c>
      <c r="AK72" s="35" t="s">
        <v>143</v>
      </c>
      <c r="AL72" s="35" t="s">
        <v>144</v>
      </c>
      <c r="AM72" s="6" t="s">
        <v>145</v>
      </c>
      <c r="AN72" s="31" t="s">
        <v>137</v>
      </c>
      <c r="AP72" s="47" t="s">
        <v>107</v>
      </c>
      <c r="AQ72" s="31" t="s">
        <v>146</v>
      </c>
      <c r="AR72" s="36" t="s">
        <v>140</v>
      </c>
      <c r="AS72" s="36" t="s">
        <v>141</v>
      </c>
      <c r="AT72" s="36" t="s">
        <v>142</v>
      </c>
      <c r="AU72" s="35" t="s">
        <v>143</v>
      </c>
      <c r="AV72" s="35" t="s">
        <v>144</v>
      </c>
      <c r="AW72" s="6" t="s">
        <v>145</v>
      </c>
      <c r="AX72" s="31" t="s">
        <v>137</v>
      </c>
    </row>
    <row r="73" spans="2:50" x14ac:dyDescent="0.25">
      <c r="B73" s="7" t="s">
        <v>4</v>
      </c>
      <c r="C73" s="3">
        <v>5162</v>
      </c>
      <c r="D73" s="3">
        <v>4692</v>
      </c>
      <c r="E73" s="3">
        <v>5674</v>
      </c>
      <c r="F73" s="15">
        <v>5245</v>
      </c>
      <c r="G73" s="15">
        <v>5988</v>
      </c>
      <c r="H73" s="15">
        <f xml:space="preserve"> AVERAGE(F73,G73)</f>
        <v>5616.5</v>
      </c>
      <c r="I73" s="3">
        <v>5479</v>
      </c>
      <c r="J73" s="3">
        <v>5230</v>
      </c>
      <c r="K73" s="3">
        <v>4999</v>
      </c>
      <c r="L73" s="3">
        <v>4971</v>
      </c>
      <c r="M73" s="15">
        <v>6455.71</v>
      </c>
      <c r="N73" s="15">
        <v>5692.83</v>
      </c>
      <c r="O73" s="15">
        <v>5365.53</v>
      </c>
      <c r="P73" s="15">
        <f>AVERAGE(N73,O73)</f>
        <v>5529.18</v>
      </c>
      <c r="Q73" s="15">
        <v>5847.09</v>
      </c>
      <c r="R73" s="15">
        <v>5016.1099999999997</v>
      </c>
      <c r="S73" s="15">
        <v>5458.97</v>
      </c>
      <c r="T73" s="15">
        <f>AVERAGE(Q73,R73,S73)</f>
        <v>5440.7233333333343</v>
      </c>
      <c r="U73" s="15">
        <v>5999.86</v>
      </c>
      <c r="V73" s="15">
        <v>5635.3</v>
      </c>
      <c r="W73" s="15">
        <f>AVERAGE(U73,V73)</f>
        <v>5817.58</v>
      </c>
      <c r="X73" s="3">
        <v>99.6</v>
      </c>
      <c r="Y73" s="38">
        <f>X73/100</f>
        <v>0.996</v>
      </c>
      <c r="Z73" s="3">
        <v>100</v>
      </c>
      <c r="AA73" s="3">
        <v>4.1333333333333337</v>
      </c>
      <c r="AB73" s="16">
        <v>805</v>
      </c>
      <c r="AC73" s="16">
        <v>4290.7299999999996</v>
      </c>
      <c r="AD73" s="44"/>
      <c r="AE73" s="25"/>
      <c r="AF73" s="36" t="s">
        <v>4</v>
      </c>
      <c r="AG73" s="15">
        <v>6455.71</v>
      </c>
      <c r="AH73" s="2">
        <v>1</v>
      </c>
      <c r="AI73" s="2">
        <v>0</v>
      </c>
      <c r="AJ73" s="53">
        <v>0</v>
      </c>
      <c r="AK73" s="38">
        <v>100</v>
      </c>
      <c r="AL73" s="38">
        <v>4.1333333333333337</v>
      </c>
      <c r="AM73" s="52">
        <v>4290.7299999999996</v>
      </c>
      <c r="AP73" s="36" t="s">
        <v>5</v>
      </c>
      <c r="AQ73" s="15">
        <v>5991.98</v>
      </c>
      <c r="AR73" s="2">
        <v>1</v>
      </c>
      <c r="AS73" s="2">
        <v>0</v>
      </c>
      <c r="AT73" s="2">
        <v>0</v>
      </c>
      <c r="AU73" s="3">
        <v>100.49999999999999</v>
      </c>
      <c r="AV73" s="38">
        <v>3.9</v>
      </c>
      <c r="AW73" s="16">
        <v>4230.3599999999997</v>
      </c>
      <c r="AX73" s="15">
        <v>6455.71</v>
      </c>
    </row>
    <row r="74" spans="2:50" x14ac:dyDescent="0.25">
      <c r="B74" s="7" t="s">
        <v>5</v>
      </c>
      <c r="C74" s="3">
        <v>5300</v>
      </c>
      <c r="D74" s="3">
        <v>4675</v>
      </c>
      <c r="E74" s="3">
        <v>5843</v>
      </c>
      <c r="F74" s="15">
        <v>5116</v>
      </c>
      <c r="G74" s="15">
        <v>6068</v>
      </c>
      <c r="H74" s="15">
        <f t="shared" ref="H74:H88" si="6" xml:space="preserve"> AVERAGE(F74,G74)</f>
        <v>5592</v>
      </c>
      <c r="I74" s="3">
        <v>5691</v>
      </c>
      <c r="J74" s="3">
        <v>5380</v>
      </c>
      <c r="K74" s="3">
        <v>5112</v>
      </c>
      <c r="L74" s="3">
        <v>5088</v>
      </c>
      <c r="M74" s="15">
        <v>5991.98</v>
      </c>
      <c r="N74" s="15">
        <v>5775.89</v>
      </c>
      <c r="O74" s="15">
        <v>5432.99</v>
      </c>
      <c r="P74" s="15">
        <f t="shared" ref="P74:P88" si="7">AVERAGE(N74,O74)</f>
        <v>5604.4400000000005</v>
      </c>
      <c r="Q74" s="15">
        <v>5574.77</v>
      </c>
      <c r="R74" s="15">
        <v>5102.7299999999996</v>
      </c>
      <c r="S74" s="15">
        <v>6174.65</v>
      </c>
      <c r="T74" s="15">
        <f t="shared" ref="T74:T88" si="8">AVERAGE(Q74,R74,S74)</f>
        <v>5617.3833333333341</v>
      </c>
      <c r="U74" s="15">
        <v>5705.05</v>
      </c>
      <c r="V74" s="15">
        <v>6014.32</v>
      </c>
      <c r="W74" s="15">
        <f t="shared" ref="W74:W88" si="9">AVERAGE(U74,V74)</f>
        <v>5859.6849999999995</v>
      </c>
      <c r="X74" s="3">
        <v>100.5</v>
      </c>
      <c r="Y74" s="38">
        <f t="shared" ref="Y74:Y88" si="10">X74/100</f>
        <v>1.0049999999999999</v>
      </c>
      <c r="Z74" s="38">
        <f>Y74*Z73</f>
        <v>100.49999999999999</v>
      </c>
      <c r="AA74" s="3">
        <v>3.9</v>
      </c>
      <c r="AB74" s="16">
        <v>1672</v>
      </c>
      <c r="AC74" s="16">
        <v>4230.3599999999997</v>
      </c>
      <c r="AD74" s="44">
        <v>-923</v>
      </c>
      <c r="AE74" s="25"/>
      <c r="AF74" s="36" t="s">
        <v>5</v>
      </c>
      <c r="AG74" s="15">
        <v>5991.98</v>
      </c>
      <c r="AH74" s="2">
        <v>1</v>
      </c>
      <c r="AI74" s="2">
        <v>0</v>
      </c>
      <c r="AJ74" s="53">
        <v>0</v>
      </c>
      <c r="AK74" s="38">
        <v>100.49999999999999</v>
      </c>
      <c r="AL74" s="38">
        <v>3.9</v>
      </c>
      <c r="AM74" s="52">
        <v>4230.3599999999997</v>
      </c>
      <c r="AN74" s="15">
        <v>6455.71</v>
      </c>
      <c r="AP74" s="36" t="s">
        <v>6</v>
      </c>
      <c r="AQ74" s="15">
        <v>5760.3</v>
      </c>
      <c r="AR74" s="2">
        <v>1</v>
      </c>
      <c r="AS74" s="2">
        <v>0</v>
      </c>
      <c r="AT74" s="2">
        <v>0</v>
      </c>
      <c r="AU74" s="3">
        <v>100.19849999999998</v>
      </c>
      <c r="AV74" s="38">
        <v>3.6333333333333333</v>
      </c>
      <c r="AW74" s="16">
        <v>4192.01</v>
      </c>
      <c r="AX74" s="15">
        <v>5991.98</v>
      </c>
    </row>
    <row r="75" spans="2:50" x14ac:dyDescent="0.25">
      <c r="B75" s="7" t="s">
        <v>6</v>
      </c>
      <c r="C75" s="3">
        <v>5219</v>
      </c>
      <c r="D75" s="3">
        <v>4687</v>
      </c>
      <c r="E75" s="3">
        <v>5791</v>
      </c>
      <c r="F75" s="15">
        <v>5263</v>
      </c>
      <c r="G75" s="15">
        <v>6044</v>
      </c>
      <c r="H75" s="15">
        <f t="shared" si="6"/>
        <v>5653.5</v>
      </c>
      <c r="I75" s="3">
        <v>5655</v>
      </c>
      <c r="J75" s="3">
        <v>5241</v>
      </c>
      <c r="K75" s="3">
        <v>5217</v>
      </c>
      <c r="L75" s="3">
        <v>4811</v>
      </c>
      <c r="M75" s="15">
        <v>5760.3</v>
      </c>
      <c r="N75" s="15">
        <v>5538.36</v>
      </c>
      <c r="O75" s="15">
        <v>5179.45</v>
      </c>
      <c r="P75" s="15">
        <f t="shared" si="7"/>
        <v>5358.9049999999997</v>
      </c>
      <c r="Q75" s="15">
        <v>5622.93</v>
      </c>
      <c r="R75" s="15">
        <v>5331.35</v>
      </c>
      <c r="S75" s="15">
        <v>6136.43</v>
      </c>
      <c r="T75" s="15">
        <f t="shared" si="8"/>
        <v>5696.9033333333327</v>
      </c>
      <c r="U75" s="15">
        <v>5209.59</v>
      </c>
      <c r="V75" s="15">
        <v>6560.3</v>
      </c>
      <c r="W75" s="15">
        <f t="shared" si="9"/>
        <v>5884.9449999999997</v>
      </c>
      <c r="X75" s="3">
        <v>99.7</v>
      </c>
      <c r="Y75" s="38">
        <f t="shared" si="10"/>
        <v>0.997</v>
      </c>
      <c r="Z75" s="38">
        <f t="shared" ref="Z75:Z88" si="11">Y75*Z74</f>
        <v>100.19849999999998</v>
      </c>
      <c r="AA75" s="3">
        <v>3.6333333333333333</v>
      </c>
      <c r="AB75" s="16">
        <v>1557</v>
      </c>
      <c r="AC75" s="16">
        <v>4192.01</v>
      </c>
      <c r="AD75" s="44"/>
      <c r="AE75" s="25"/>
      <c r="AF75" s="36" t="s">
        <v>6</v>
      </c>
      <c r="AG75" s="15">
        <v>5760.3</v>
      </c>
      <c r="AH75" s="2">
        <v>1</v>
      </c>
      <c r="AI75" s="2">
        <v>0</v>
      </c>
      <c r="AJ75" s="53">
        <v>0</v>
      </c>
      <c r="AK75" s="38">
        <v>100.19849999999998</v>
      </c>
      <c r="AL75" s="38">
        <v>3.6333333333333333</v>
      </c>
      <c r="AM75" s="52">
        <v>4192.01</v>
      </c>
      <c r="AN75" s="15">
        <v>5991.98</v>
      </c>
      <c r="AP75" s="36" t="s">
        <v>7</v>
      </c>
      <c r="AQ75" s="15">
        <v>5686.69</v>
      </c>
      <c r="AR75" s="2">
        <v>1</v>
      </c>
      <c r="AS75" s="2">
        <v>0</v>
      </c>
      <c r="AT75" s="2">
        <v>0</v>
      </c>
      <c r="AU75" s="3">
        <v>99.797705999999977</v>
      </c>
      <c r="AV75" s="38">
        <v>3.4</v>
      </c>
      <c r="AW75" s="16">
        <v>4417.13</v>
      </c>
      <c r="AX75" s="15">
        <v>5760.3</v>
      </c>
    </row>
    <row r="76" spans="2:50" x14ac:dyDescent="0.25">
      <c r="B76" s="7" t="s">
        <v>7</v>
      </c>
      <c r="C76" s="3">
        <v>5383</v>
      </c>
      <c r="D76" s="3">
        <v>4646</v>
      </c>
      <c r="E76" s="3">
        <v>6170</v>
      </c>
      <c r="F76" s="15">
        <v>5177</v>
      </c>
      <c r="G76" s="15">
        <v>6109</v>
      </c>
      <c r="H76" s="15">
        <f t="shared" si="6"/>
        <v>5643</v>
      </c>
      <c r="I76" s="3">
        <v>5448</v>
      </c>
      <c r="J76" s="3">
        <v>5413</v>
      </c>
      <c r="K76" s="3">
        <v>5070</v>
      </c>
      <c r="L76" s="3">
        <v>5786</v>
      </c>
      <c r="M76" s="15">
        <v>5686.69</v>
      </c>
      <c r="N76" s="15">
        <v>5372.06</v>
      </c>
      <c r="O76" s="15">
        <v>5334.62</v>
      </c>
      <c r="P76" s="15">
        <f t="shared" si="7"/>
        <v>5353.34</v>
      </c>
      <c r="Q76" s="15">
        <v>5545.6</v>
      </c>
      <c r="R76" s="15">
        <v>5331.2</v>
      </c>
      <c r="S76" s="15">
        <v>5906.17</v>
      </c>
      <c r="T76" s="15">
        <f t="shared" si="8"/>
        <v>5594.3233333333337</v>
      </c>
      <c r="U76" s="15">
        <v>5281.31</v>
      </c>
      <c r="V76" s="15">
        <v>6268.47</v>
      </c>
      <c r="W76" s="15">
        <f t="shared" si="9"/>
        <v>5774.89</v>
      </c>
      <c r="X76" s="3">
        <v>99.6</v>
      </c>
      <c r="Y76" s="38">
        <f t="shared" si="10"/>
        <v>0.996</v>
      </c>
      <c r="Z76" s="38">
        <f t="shared" si="11"/>
        <v>99.797705999999977</v>
      </c>
      <c r="AA76" s="3">
        <v>3.4</v>
      </c>
      <c r="AB76" s="16">
        <v>2637</v>
      </c>
      <c r="AC76" s="16">
        <v>4417.13</v>
      </c>
      <c r="AD76" s="44">
        <v>-439</v>
      </c>
      <c r="AE76" s="25"/>
      <c r="AF76" s="36" t="s">
        <v>7</v>
      </c>
      <c r="AG76" s="15">
        <v>5686.69</v>
      </c>
      <c r="AH76" s="2">
        <v>1</v>
      </c>
      <c r="AI76" s="2">
        <v>0</v>
      </c>
      <c r="AJ76" s="53">
        <v>0</v>
      </c>
      <c r="AK76" s="38">
        <v>99.797705999999977</v>
      </c>
      <c r="AL76" s="38">
        <v>3.4</v>
      </c>
      <c r="AM76" s="52">
        <v>4417.13</v>
      </c>
      <c r="AN76" s="15">
        <v>5760.3</v>
      </c>
      <c r="AP76" s="36" t="s">
        <v>8</v>
      </c>
      <c r="AQ76" s="15">
        <v>5845.09</v>
      </c>
      <c r="AR76" s="2">
        <v>1</v>
      </c>
      <c r="AS76" s="2">
        <v>0</v>
      </c>
      <c r="AT76" s="2">
        <v>0</v>
      </c>
      <c r="AU76" s="3">
        <v>99.099122057999978</v>
      </c>
      <c r="AV76" s="38">
        <v>3.4333333333333336</v>
      </c>
      <c r="AW76" s="16">
        <v>4443.83</v>
      </c>
      <c r="AX76" s="15">
        <v>5686.69</v>
      </c>
    </row>
    <row r="77" spans="2:50" x14ac:dyDescent="0.25">
      <c r="B77" s="7" t="s">
        <v>8</v>
      </c>
      <c r="C77" s="3">
        <v>5462</v>
      </c>
      <c r="D77" s="3">
        <v>4779</v>
      </c>
      <c r="E77" s="3">
        <v>5940</v>
      </c>
      <c r="F77" s="15">
        <v>5216</v>
      </c>
      <c r="G77" s="15">
        <v>5993</v>
      </c>
      <c r="H77" s="15">
        <f t="shared" si="6"/>
        <v>5604.5</v>
      </c>
      <c r="I77" s="3">
        <v>5907</v>
      </c>
      <c r="J77" s="3">
        <v>5529</v>
      </c>
      <c r="K77" s="3">
        <v>5227</v>
      </c>
      <c r="L77" s="3">
        <v>5283</v>
      </c>
      <c r="M77" s="15">
        <v>5845.09</v>
      </c>
      <c r="N77" s="15">
        <v>5502.08</v>
      </c>
      <c r="O77" s="15">
        <v>5453.21</v>
      </c>
      <c r="P77" s="15">
        <f t="shared" si="7"/>
        <v>5477.6450000000004</v>
      </c>
      <c r="Q77" s="15">
        <v>5404.13</v>
      </c>
      <c r="R77" s="15">
        <v>5232.0600000000004</v>
      </c>
      <c r="S77" s="15">
        <v>5864.76</v>
      </c>
      <c r="T77" s="15">
        <f t="shared" si="8"/>
        <v>5500.3166666666666</v>
      </c>
      <c r="U77" s="15">
        <v>5150.84</v>
      </c>
      <c r="V77" s="15">
        <v>6143.33</v>
      </c>
      <c r="W77" s="15">
        <f t="shared" si="9"/>
        <v>5647.085</v>
      </c>
      <c r="X77" s="3">
        <v>99.3</v>
      </c>
      <c r="Y77" s="38">
        <f t="shared" si="10"/>
        <v>0.99299999999999999</v>
      </c>
      <c r="Z77" s="38">
        <f t="shared" si="11"/>
        <v>99.099122057999978</v>
      </c>
      <c r="AA77" s="3">
        <v>3.4333333333333336</v>
      </c>
      <c r="AB77" s="16">
        <v>2669</v>
      </c>
      <c r="AC77" s="16">
        <v>4443.83</v>
      </c>
      <c r="AD77" s="44"/>
      <c r="AE77" s="25"/>
      <c r="AF77" s="36" t="s">
        <v>8</v>
      </c>
      <c r="AG77" s="15">
        <v>5845.09</v>
      </c>
      <c r="AH77" s="2">
        <v>1</v>
      </c>
      <c r="AI77" s="2">
        <v>0</v>
      </c>
      <c r="AJ77" s="53">
        <v>0</v>
      </c>
      <c r="AK77" s="38">
        <v>99.099122057999978</v>
      </c>
      <c r="AL77" s="38">
        <v>3.4333333333333336</v>
      </c>
      <c r="AM77" s="52">
        <v>4443.83</v>
      </c>
      <c r="AN77" s="15">
        <v>5686.69</v>
      </c>
      <c r="AP77" s="36" t="s">
        <v>9</v>
      </c>
      <c r="AQ77" s="15">
        <v>5896.12</v>
      </c>
      <c r="AR77" s="2">
        <v>1</v>
      </c>
      <c r="AS77" s="2">
        <v>0</v>
      </c>
      <c r="AT77" s="2">
        <v>0</v>
      </c>
      <c r="AU77" s="3">
        <v>99.59461766828997</v>
      </c>
      <c r="AV77" s="38">
        <v>3.1999999999999997</v>
      </c>
      <c r="AW77" s="16">
        <v>4286.4399999999996</v>
      </c>
      <c r="AX77" s="15">
        <v>5845.09</v>
      </c>
    </row>
    <row r="78" spans="2:50" x14ac:dyDescent="0.25">
      <c r="B78" s="7" t="s">
        <v>9</v>
      </c>
      <c r="C78" s="3">
        <v>5281</v>
      </c>
      <c r="D78" s="3">
        <v>4676</v>
      </c>
      <c r="E78" s="3">
        <v>5720</v>
      </c>
      <c r="F78" s="15">
        <v>5201</v>
      </c>
      <c r="G78" s="15">
        <v>6218</v>
      </c>
      <c r="H78" s="15">
        <f t="shared" si="6"/>
        <v>5709.5</v>
      </c>
      <c r="I78" s="3">
        <v>5682</v>
      </c>
      <c r="J78" s="3">
        <v>5406</v>
      </c>
      <c r="K78" s="3">
        <v>5189</v>
      </c>
      <c r="L78" s="3">
        <v>4818</v>
      </c>
      <c r="M78" s="15">
        <v>5896.12</v>
      </c>
      <c r="N78" s="15">
        <v>5576.86</v>
      </c>
      <c r="O78" s="15">
        <v>5504.77</v>
      </c>
      <c r="P78" s="15">
        <f t="shared" si="7"/>
        <v>5540.8150000000005</v>
      </c>
      <c r="Q78" s="15">
        <v>5259.86</v>
      </c>
      <c r="R78" s="15">
        <v>5124.97</v>
      </c>
      <c r="S78" s="15">
        <v>5639.83</v>
      </c>
      <c r="T78" s="15">
        <f t="shared" si="8"/>
        <v>5341.5533333333333</v>
      </c>
      <c r="U78" s="15">
        <v>5086.3900000000003</v>
      </c>
      <c r="V78" s="15">
        <v>6038.71</v>
      </c>
      <c r="W78" s="15">
        <f t="shared" si="9"/>
        <v>5562.55</v>
      </c>
      <c r="X78" s="3">
        <v>100.5</v>
      </c>
      <c r="Y78" s="38">
        <f t="shared" si="10"/>
        <v>1.0049999999999999</v>
      </c>
      <c r="Z78" s="38">
        <f t="shared" si="11"/>
        <v>99.59461766828997</v>
      </c>
      <c r="AA78" s="3">
        <v>3.1999999999999997</v>
      </c>
      <c r="AB78" s="16">
        <v>1979</v>
      </c>
      <c r="AC78" s="16">
        <v>4286.4399999999996</v>
      </c>
      <c r="AD78" s="44">
        <v>350</v>
      </c>
      <c r="AE78" s="25"/>
      <c r="AF78" s="36" t="s">
        <v>9</v>
      </c>
      <c r="AG78" s="15">
        <v>5896.12</v>
      </c>
      <c r="AH78" s="2">
        <v>1</v>
      </c>
      <c r="AI78" s="2">
        <v>0</v>
      </c>
      <c r="AJ78" s="53">
        <v>0</v>
      </c>
      <c r="AK78" s="38">
        <v>99.59461766828997</v>
      </c>
      <c r="AL78" s="38">
        <v>3.1999999999999997</v>
      </c>
      <c r="AM78" s="52">
        <v>4286.4399999999996</v>
      </c>
      <c r="AN78" s="15">
        <v>5845.09</v>
      </c>
      <c r="AP78" s="36" t="s">
        <v>10</v>
      </c>
      <c r="AQ78" s="15">
        <v>6115.79</v>
      </c>
      <c r="AR78" s="2">
        <v>1</v>
      </c>
      <c r="AS78" s="2">
        <v>0</v>
      </c>
      <c r="AT78" s="2">
        <v>0</v>
      </c>
      <c r="AU78" s="3">
        <v>99.295833815285107</v>
      </c>
      <c r="AV78" s="38">
        <v>3.0666666666666664</v>
      </c>
      <c r="AW78" s="16">
        <v>4474.43</v>
      </c>
      <c r="AX78" s="15">
        <v>5896.12</v>
      </c>
    </row>
    <row r="79" spans="2:50" x14ac:dyDescent="0.25">
      <c r="B79" s="7" t="s">
        <v>10</v>
      </c>
      <c r="C79" s="3">
        <v>5557</v>
      </c>
      <c r="D79" s="3">
        <v>4993</v>
      </c>
      <c r="E79" s="3">
        <v>6061</v>
      </c>
      <c r="F79" s="15">
        <v>5332</v>
      </c>
      <c r="G79" s="15">
        <v>6162</v>
      </c>
      <c r="H79" s="15">
        <f t="shared" si="6"/>
        <v>5747</v>
      </c>
      <c r="I79" s="3">
        <v>6363</v>
      </c>
      <c r="J79" s="3">
        <v>5512</v>
      </c>
      <c r="K79" s="3">
        <v>5340</v>
      </c>
      <c r="L79" s="3">
        <v>5455</v>
      </c>
      <c r="M79" s="15">
        <v>6115.79</v>
      </c>
      <c r="N79" s="15">
        <v>5681.24</v>
      </c>
      <c r="O79" s="15">
        <v>5641.21</v>
      </c>
      <c r="P79" s="15">
        <f t="shared" si="7"/>
        <v>5661.2250000000004</v>
      </c>
      <c r="Q79" s="15">
        <v>5401.25</v>
      </c>
      <c r="R79" s="15">
        <v>5075.72</v>
      </c>
      <c r="S79" s="15">
        <v>5527.99</v>
      </c>
      <c r="T79" s="15">
        <f t="shared" si="8"/>
        <v>5334.9866666666667</v>
      </c>
      <c r="U79" s="15">
        <v>5065.33</v>
      </c>
      <c r="V79" s="15">
        <v>5930.3</v>
      </c>
      <c r="W79" s="15">
        <f t="shared" si="9"/>
        <v>5497.8150000000005</v>
      </c>
      <c r="X79" s="3">
        <v>99.7</v>
      </c>
      <c r="Y79" s="38">
        <f t="shared" si="10"/>
        <v>0.997</v>
      </c>
      <c r="Z79" s="38">
        <f t="shared" si="11"/>
        <v>99.295833815285107</v>
      </c>
      <c r="AA79" s="3">
        <v>3.0666666666666664</v>
      </c>
      <c r="AB79" s="16">
        <v>1367</v>
      </c>
      <c r="AC79" s="16">
        <v>4474.43</v>
      </c>
      <c r="AD79" s="44"/>
      <c r="AE79" s="25"/>
      <c r="AF79" s="36" t="s">
        <v>10</v>
      </c>
      <c r="AG79" s="15">
        <v>6115.79</v>
      </c>
      <c r="AH79" s="2">
        <v>1</v>
      </c>
      <c r="AI79" s="2">
        <v>0</v>
      </c>
      <c r="AJ79" s="53">
        <v>0</v>
      </c>
      <c r="AK79" s="38">
        <v>99.295833815285107</v>
      </c>
      <c r="AL79" s="38">
        <v>3.0666666666666664</v>
      </c>
      <c r="AM79" s="52">
        <v>4474.43</v>
      </c>
      <c r="AN79" s="15">
        <v>5896.12</v>
      </c>
      <c r="AP79" s="36" t="s">
        <v>11</v>
      </c>
      <c r="AQ79" s="15">
        <v>6284.16</v>
      </c>
      <c r="AR79" s="2">
        <v>1</v>
      </c>
      <c r="AS79" s="2">
        <v>0</v>
      </c>
      <c r="AT79" s="2">
        <v>0</v>
      </c>
      <c r="AU79" s="3">
        <v>99.792312984361516</v>
      </c>
      <c r="AV79" s="38">
        <v>2.7999999999999994</v>
      </c>
      <c r="AW79" s="16">
        <v>4616.2299999999996</v>
      </c>
      <c r="AX79" s="15">
        <v>6115.79</v>
      </c>
    </row>
    <row r="80" spans="2:50" x14ac:dyDescent="0.25">
      <c r="B80" s="7" t="s">
        <v>11</v>
      </c>
      <c r="C80" s="3">
        <v>5480</v>
      </c>
      <c r="D80" s="3">
        <v>4975</v>
      </c>
      <c r="E80" s="3">
        <v>6178</v>
      </c>
      <c r="F80" s="15">
        <v>5480</v>
      </c>
      <c r="G80" s="15">
        <v>6163</v>
      </c>
      <c r="H80" s="15">
        <f t="shared" si="6"/>
        <v>5821.5</v>
      </c>
      <c r="I80" s="3">
        <v>5925</v>
      </c>
      <c r="J80" s="3">
        <v>5489</v>
      </c>
      <c r="K80" s="3">
        <v>5365</v>
      </c>
      <c r="L80" s="3">
        <v>5372</v>
      </c>
      <c r="M80" s="15">
        <v>6284.16</v>
      </c>
      <c r="N80" s="15">
        <v>5735.2</v>
      </c>
      <c r="O80" s="15">
        <v>5604.42</v>
      </c>
      <c r="P80" s="15">
        <f t="shared" si="7"/>
        <v>5669.8099999999995</v>
      </c>
      <c r="Q80" s="15">
        <v>5215</v>
      </c>
      <c r="R80" s="15">
        <v>5170.3999999999996</v>
      </c>
      <c r="S80" s="15">
        <v>5499.61</v>
      </c>
      <c r="T80" s="15">
        <f t="shared" si="8"/>
        <v>5295.0033333333331</v>
      </c>
      <c r="U80" s="15">
        <v>5255.98</v>
      </c>
      <c r="V80" s="15">
        <v>6014.65</v>
      </c>
      <c r="W80" s="15">
        <f t="shared" si="9"/>
        <v>5635.3149999999996</v>
      </c>
      <c r="X80" s="3">
        <v>100.5</v>
      </c>
      <c r="Y80" s="38">
        <f t="shared" si="10"/>
        <v>1.0049999999999999</v>
      </c>
      <c r="Z80" s="38">
        <f t="shared" si="11"/>
        <v>99.792312984361516</v>
      </c>
      <c r="AA80" s="3">
        <v>2.7999999999999994</v>
      </c>
      <c r="AB80" s="16">
        <v>2460</v>
      </c>
      <c r="AC80" s="16">
        <v>4616.2299999999996</v>
      </c>
      <c r="AD80" s="44">
        <v>646</v>
      </c>
      <c r="AE80" s="25"/>
      <c r="AF80" s="36" t="s">
        <v>11</v>
      </c>
      <c r="AG80" s="15">
        <v>6284.16</v>
      </c>
      <c r="AH80" s="2">
        <v>1</v>
      </c>
      <c r="AI80" s="2">
        <v>0</v>
      </c>
      <c r="AJ80" s="53">
        <v>0</v>
      </c>
      <c r="AK80" s="38">
        <v>99.792312984361516</v>
      </c>
      <c r="AL80" s="38">
        <v>2.7999999999999994</v>
      </c>
      <c r="AM80" s="52">
        <v>4616.2299999999996</v>
      </c>
      <c r="AN80" s="15">
        <v>6115.79</v>
      </c>
      <c r="AP80" s="36" t="s">
        <v>12</v>
      </c>
      <c r="AQ80" s="15">
        <v>6522.09</v>
      </c>
      <c r="AR80" s="2">
        <v>1</v>
      </c>
      <c r="AS80" s="2">
        <v>0</v>
      </c>
      <c r="AT80" s="2">
        <v>0</v>
      </c>
      <c r="AU80" s="3">
        <v>101.0896130531582</v>
      </c>
      <c r="AV80" s="38">
        <v>2.7333333333333329</v>
      </c>
      <c r="AW80" s="16">
        <v>4648.6899999999996</v>
      </c>
      <c r="AX80" s="15">
        <v>6284.16</v>
      </c>
    </row>
    <row r="81" spans="2:50" x14ac:dyDescent="0.25">
      <c r="B81" s="7" t="s">
        <v>12</v>
      </c>
      <c r="C81" s="3">
        <v>5315</v>
      </c>
      <c r="D81" s="3">
        <v>4852</v>
      </c>
      <c r="E81" s="3">
        <v>5698</v>
      </c>
      <c r="F81" s="15">
        <v>5390</v>
      </c>
      <c r="G81" s="15">
        <v>6136</v>
      </c>
      <c r="H81" s="15">
        <f t="shared" si="6"/>
        <v>5763</v>
      </c>
      <c r="I81" s="3">
        <v>5839</v>
      </c>
      <c r="J81" s="3">
        <v>5417</v>
      </c>
      <c r="K81" s="3">
        <v>5189</v>
      </c>
      <c r="L81" s="3">
        <v>4911</v>
      </c>
      <c r="M81" s="15">
        <v>6522.09</v>
      </c>
      <c r="N81" s="15">
        <v>5748.61</v>
      </c>
      <c r="O81" s="15">
        <v>5449.79</v>
      </c>
      <c r="P81" s="15">
        <f t="shared" si="7"/>
        <v>5599.2</v>
      </c>
      <c r="Q81" s="15">
        <v>5508.09</v>
      </c>
      <c r="R81" s="15">
        <v>5386.56</v>
      </c>
      <c r="S81" s="15">
        <v>5773.41</v>
      </c>
      <c r="T81" s="15">
        <f t="shared" si="8"/>
        <v>5556.02</v>
      </c>
      <c r="U81" s="15">
        <v>5154.72</v>
      </c>
      <c r="V81" s="15">
        <v>6007.31</v>
      </c>
      <c r="W81" s="15">
        <f t="shared" si="9"/>
        <v>5581.0150000000003</v>
      </c>
      <c r="X81" s="3">
        <v>101.3</v>
      </c>
      <c r="Y81" s="38">
        <f t="shared" si="10"/>
        <v>1.0129999999999999</v>
      </c>
      <c r="Z81" s="38">
        <f t="shared" si="11"/>
        <v>101.0896130531582</v>
      </c>
      <c r="AA81" s="3">
        <v>2.7333333333333329</v>
      </c>
      <c r="AB81" s="16">
        <v>1459</v>
      </c>
      <c r="AC81" s="16">
        <v>4648.6899999999996</v>
      </c>
      <c r="AD81" s="44"/>
      <c r="AE81" s="25"/>
      <c r="AF81" s="36" t="s">
        <v>12</v>
      </c>
      <c r="AG81" s="15">
        <v>6522.09</v>
      </c>
      <c r="AH81" s="2">
        <v>1</v>
      </c>
      <c r="AI81" s="2">
        <v>0</v>
      </c>
      <c r="AJ81" s="53">
        <v>0</v>
      </c>
      <c r="AK81" s="38">
        <v>101.0896130531582</v>
      </c>
      <c r="AL81" s="38">
        <v>2.7333333333333329</v>
      </c>
      <c r="AM81" s="52">
        <v>4648.6899999999996</v>
      </c>
      <c r="AN81" s="15">
        <v>6284.16</v>
      </c>
      <c r="AP81" s="36" t="s">
        <v>13</v>
      </c>
      <c r="AQ81" s="15">
        <v>6336.6189999999997</v>
      </c>
      <c r="AR81" s="2">
        <v>1</v>
      </c>
      <c r="AS81" s="2">
        <v>0</v>
      </c>
      <c r="AT81" s="2">
        <v>0</v>
      </c>
      <c r="AU81" s="3">
        <v>101.29179227926451</v>
      </c>
      <c r="AV81" s="38">
        <v>2.5666666666666669</v>
      </c>
      <c r="AW81" s="16">
        <v>4657.1099999999997</v>
      </c>
      <c r="AX81" s="15">
        <v>6522.09</v>
      </c>
    </row>
    <row r="82" spans="2:50" x14ac:dyDescent="0.25">
      <c r="B82" s="7" t="s">
        <v>13</v>
      </c>
      <c r="C82" s="3">
        <v>5659</v>
      </c>
      <c r="D82" s="3">
        <v>5065</v>
      </c>
      <c r="E82" s="3">
        <v>6042</v>
      </c>
      <c r="F82" s="15">
        <v>5445</v>
      </c>
      <c r="G82" s="18">
        <v>6314</v>
      </c>
      <c r="H82" s="15">
        <f t="shared" si="6"/>
        <v>5879.5</v>
      </c>
      <c r="I82" s="3">
        <v>6289</v>
      </c>
      <c r="J82" s="3">
        <v>5703</v>
      </c>
      <c r="K82" s="3">
        <v>5703</v>
      </c>
      <c r="L82" s="3">
        <v>4958</v>
      </c>
      <c r="M82" s="15">
        <v>6336.6189999999997</v>
      </c>
      <c r="N82" s="15">
        <v>5978.16</v>
      </c>
      <c r="O82" s="15">
        <v>5475.4620000000004</v>
      </c>
      <c r="P82" s="15">
        <f t="shared" si="7"/>
        <v>5726.8109999999997</v>
      </c>
      <c r="Q82" s="15">
        <v>5441.4449999999997</v>
      </c>
      <c r="R82" s="15">
        <v>5473.0079999999998</v>
      </c>
      <c r="S82" s="15">
        <v>5555.65</v>
      </c>
      <c r="T82" s="15">
        <f t="shared" si="8"/>
        <v>5490.0343333333331</v>
      </c>
      <c r="U82" s="15">
        <v>5095.8720000000003</v>
      </c>
      <c r="V82" s="15">
        <v>6196.8869999999997</v>
      </c>
      <c r="W82" s="15">
        <f t="shared" si="9"/>
        <v>5646.3795</v>
      </c>
      <c r="X82" s="3">
        <v>100.2</v>
      </c>
      <c r="Y82" s="38">
        <f t="shared" si="10"/>
        <v>1.002</v>
      </c>
      <c r="Z82" s="38">
        <f t="shared" si="11"/>
        <v>101.29179227926451</v>
      </c>
      <c r="AA82" s="3">
        <v>2.5666666666666669</v>
      </c>
      <c r="AB82" s="16">
        <v>1922</v>
      </c>
      <c r="AC82" s="16">
        <v>4657.1099999999997</v>
      </c>
      <c r="AD82" s="44">
        <v>-43</v>
      </c>
      <c r="AE82" s="25"/>
      <c r="AF82" s="36" t="s">
        <v>13</v>
      </c>
      <c r="AG82" s="15">
        <v>6336.6189999999997</v>
      </c>
      <c r="AH82" s="2">
        <v>1</v>
      </c>
      <c r="AI82" s="2">
        <v>0</v>
      </c>
      <c r="AJ82" s="53">
        <v>0</v>
      </c>
      <c r="AK82" s="38">
        <v>101.29179227926451</v>
      </c>
      <c r="AL82" s="38">
        <v>2.5666666666666669</v>
      </c>
      <c r="AM82" s="52">
        <v>4657.1099999999997</v>
      </c>
      <c r="AN82" s="15">
        <v>6522.09</v>
      </c>
      <c r="AP82" s="36" t="s">
        <v>14</v>
      </c>
      <c r="AQ82" s="15">
        <v>6149.75</v>
      </c>
      <c r="AR82" s="2">
        <v>1</v>
      </c>
      <c r="AS82" s="2">
        <v>0</v>
      </c>
      <c r="AT82" s="2">
        <v>0</v>
      </c>
      <c r="AU82" s="3">
        <v>101.08920869470599</v>
      </c>
      <c r="AV82" s="38">
        <v>2.4333333333333336</v>
      </c>
      <c r="AW82" s="16">
        <v>4607.47</v>
      </c>
      <c r="AX82" s="15">
        <v>6336.6189999999997</v>
      </c>
    </row>
    <row r="83" spans="2:50" x14ac:dyDescent="0.25">
      <c r="B83" s="7" t="s">
        <v>14</v>
      </c>
      <c r="C83" s="3">
        <v>5639</v>
      </c>
      <c r="D83" s="3">
        <v>5256</v>
      </c>
      <c r="E83" s="3">
        <v>6032</v>
      </c>
      <c r="F83" s="15">
        <v>5764</v>
      </c>
      <c r="G83" s="18">
        <v>6433</v>
      </c>
      <c r="H83" s="15">
        <f t="shared" si="6"/>
        <v>6098.5</v>
      </c>
      <c r="I83" s="3">
        <v>6272</v>
      </c>
      <c r="J83" s="3">
        <v>5605</v>
      </c>
      <c r="K83" s="3">
        <v>5551</v>
      </c>
      <c r="L83" s="3">
        <v>5328</v>
      </c>
      <c r="M83" s="15">
        <v>6149.75</v>
      </c>
      <c r="N83" s="15">
        <v>5958.2709999999997</v>
      </c>
      <c r="O83" s="15">
        <v>5496.8950000000004</v>
      </c>
      <c r="P83" s="15">
        <f t="shared" si="7"/>
        <v>5727.5830000000005</v>
      </c>
      <c r="Q83" s="15">
        <v>5621.6019999999999</v>
      </c>
      <c r="R83" s="15">
        <v>5486.6790000000001</v>
      </c>
      <c r="S83" s="15">
        <v>5381.3419999999996</v>
      </c>
      <c r="T83" s="15">
        <f t="shared" si="8"/>
        <v>5496.5410000000002</v>
      </c>
      <c r="U83" s="15">
        <v>5107.2430000000004</v>
      </c>
      <c r="V83" s="15">
        <v>6362.1620000000003</v>
      </c>
      <c r="W83" s="15">
        <f t="shared" si="9"/>
        <v>5734.7025000000003</v>
      </c>
      <c r="X83" s="3">
        <v>99.8</v>
      </c>
      <c r="Y83" s="38">
        <f t="shared" si="10"/>
        <v>0.998</v>
      </c>
      <c r="Z83" s="38">
        <f t="shared" si="11"/>
        <v>101.08920869470599</v>
      </c>
      <c r="AA83" s="3">
        <v>2.4333333333333336</v>
      </c>
      <c r="AB83" s="16">
        <v>2916</v>
      </c>
      <c r="AC83" s="16">
        <v>4607.47</v>
      </c>
      <c r="AD83" s="44"/>
      <c r="AE83" s="25"/>
      <c r="AF83" s="36" t="s">
        <v>14</v>
      </c>
      <c r="AG83" s="15">
        <v>6149.75</v>
      </c>
      <c r="AH83" s="2">
        <v>1</v>
      </c>
      <c r="AI83" s="2">
        <v>0</v>
      </c>
      <c r="AJ83" s="53">
        <v>0</v>
      </c>
      <c r="AK83" s="38">
        <v>101.08920869470599</v>
      </c>
      <c r="AL83" s="38">
        <v>2.4333333333333336</v>
      </c>
      <c r="AM83" s="52">
        <v>4607.47</v>
      </c>
      <c r="AN83" s="15">
        <v>6336.6189999999997</v>
      </c>
      <c r="AP83" s="36" t="s">
        <v>15</v>
      </c>
      <c r="AQ83" s="15">
        <v>6348.97</v>
      </c>
      <c r="AR83" s="2">
        <v>1</v>
      </c>
      <c r="AS83" s="2">
        <v>0</v>
      </c>
      <c r="AT83" s="2">
        <v>0</v>
      </c>
      <c r="AU83" s="3">
        <v>101.99901157295835</v>
      </c>
      <c r="AV83" s="38">
        <v>2.1666666666666665</v>
      </c>
      <c r="AW83" s="16">
        <v>4974.3599999999997</v>
      </c>
      <c r="AX83" s="15">
        <v>6149.75</v>
      </c>
    </row>
    <row r="84" spans="2:50" x14ac:dyDescent="0.25">
      <c r="B84" s="7" t="s">
        <v>15</v>
      </c>
      <c r="C84" s="3">
        <v>5582</v>
      </c>
      <c r="D84" s="3">
        <v>5318</v>
      </c>
      <c r="E84" s="3">
        <v>5871</v>
      </c>
      <c r="F84" s="15">
        <v>5906</v>
      </c>
      <c r="G84" s="15">
        <v>6389</v>
      </c>
      <c r="H84" s="15">
        <f t="shared" si="6"/>
        <v>6147.5</v>
      </c>
      <c r="I84" s="3">
        <v>6181</v>
      </c>
      <c r="J84" s="3">
        <v>5590</v>
      </c>
      <c r="K84" s="3">
        <v>5547</v>
      </c>
      <c r="L84" s="3">
        <v>5190</v>
      </c>
      <c r="M84" s="15">
        <v>6348.97</v>
      </c>
      <c r="N84" s="15">
        <v>6036</v>
      </c>
      <c r="O84" s="15">
        <v>5706.99</v>
      </c>
      <c r="P84" s="15">
        <f t="shared" si="7"/>
        <v>5871.4949999999999</v>
      </c>
      <c r="Q84" s="15">
        <v>5641.36</v>
      </c>
      <c r="R84" s="15">
        <v>5353.33</v>
      </c>
      <c r="S84" s="15">
        <v>5307</v>
      </c>
      <c r="T84" s="15">
        <f t="shared" si="8"/>
        <v>5433.8966666666665</v>
      </c>
      <c r="U84" s="15">
        <v>5186.1400000000003</v>
      </c>
      <c r="V84" s="15">
        <v>5997.1</v>
      </c>
      <c r="W84" s="15">
        <f t="shared" si="9"/>
        <v>5591.6200000000008</v>
      </c>
      <c r="X84" s="3">
        <v>100.9</v>
      </c>
      <c r="Y84" s="38">
        <f t="shared" si="10"/>
        <v>1.0090000000000001</v>
      </c>
      <c r="Z84" s="38">
        <f t="shared" si="11"/>
        <v>101.99901157295835</v>
      </c>
      <c r="AA84" s="3">
        <v>2.1666666666666665</v>
      </c>
      <c r="AB84" s="16">
        <v>2547</v>
      </c>
      <c r="AC84" s="16">
        <v>4974.3599999999997</v>
      </c>
      <c r="AD84" s="44">
        <v>286</v>
      </c>
      <c r="AE84" s="25"/>
      <c r="AF84" s="36" t="s">
        <v>15</v>
      </c>
      <c r="AG84" s="15">
        <v>6348.97</v>
      </c>
      <c r="AH84" s="2">
        <v>1</v>
      </c>
      <c r="AI84" s="2">
        <v>0</v>
      </c>
      <c r="AJ84" s="53">
        <v>0</v>
      </c>
      <c r="AK84" s="38">
        <v>101.99901157295835</v>
      </c>
      <c r="AL84" s="38">
        <v>2.1666666666666665</v>
      </c>
      <c r="AM84" s="52">
        <v>4974.3599999999997</v>
      </c>
      <c r="AN84" s="15">
        <v>6149.75</v>
      </c>
      <c r="AP84" s="36" t="s">
        <v>16</v>
      </c>
      <c r="AQ84" s="15">
        <v>6958.7889999999998</v>
      </c>
      <c r="AR84" s="2">
        <v>1</v>
      </c>
      <c r="AS84" s="2">
        <v>0</v>
      </c>
      <c r="AT84" s="2">
        <v>0</v>
      </c>
      <c r="AU84" s="3">
        <v>102.30500860767722</v>
      </c>
      <c r="AV84" s="38">
        <v>2.2000000000000002</v>
      </c>
      <c r="AW84" s="16">
        <v>4986.01</v>
      </c>
      <c r="AX84" s="15">
        <v>6348.97</v>
      </c>
    </row>
    <row r="85" spans="2:50" x14ac:dyDescent="0.25">
      <c r="B85" s="7" t="s">
        <v>16</v>
      </c>
      <c r="C85" s="15"/>
      <c r="D85" s="15"/>
      <c r="E85" s="15"/>
      <c r="F85" s="15">
        <v>5841</v>
      </c>
      <c r="G85" s="15">
        <v>6508</v>
      </c>
      <c r="H85" s="15">
        <f t="shared" si="6"/>
        <v>6174.5</v>
      </c>
      <c r="I85" s="15"/>
      <c r="J85" s="15"/>
      <c r="K85" s="15"/>
      <c r="L85" s="15"/>
      <c r="M85" s="15">
        <v>6958.7889999999998</v>
      </c>
      <c r="N85" s="15">
        <v>5988.9650000000001</v>
      </c>
      <c r="O85" s="15">
        <v>5704.9480000000003</v>
      </c>
      <c r="P85" s="15">
        <f t="shared" si="7"/>
        <v>5846.9565000000002</v>
      </c>
      <c r="Q85" s="15">
        <v>5810.3649999999998</v>
      </c>
      <c r="R85" s="15">
        <v>5464.87</v>
      </c>
      <c r="S85" s="15">
        <v>5618.37</v>
      </c>
      <c r="T85" s="15">
        <f t="shared" si="8"/>
        <v>5631.2016666666668</v>
      </c>
      <c r="U85" s="15">
        <v>5455.8940000000002</v>
      </c>
      <c r="V85" s="15">
        <v>5936.8090000000002</v>
      </c>
      <c r="W85" s="15">
        <f t="shared" si="9"/>
        <v>5696.3515000000007</v>
      </c>
      <c r="X85" s="3">
        <v>100.3</v>
      </c>
      <c r="Y85" s="38">
        <f t="shared" si="10"/>
        <v>1.0029999999999999</v>
      </c>
      <c r="Z85" s="38">
        <f t="shared" si="11"/>
        <v>102.30500860767722</v>
      </c>
      <c r="AA85" s="3">
        <v>2.2000000000000002</v>
      </c>
      <c r="AB85" s="15"/>
      <c r="AC85" s="16">
        <v>4986.01</v>
      </c>
      <c r="AD85" s="44"/>
      <c r="AE85" s="25"/>
      <c r="AF85" s="36" t="s">
        <v>16</v>
      </c>
      <c r="AG85" s="15">
        <v>6958.7889999999998</v>
      </c>
      <c r="AH85" s="2">
        <v>1</v>
      </c>
      <c r="AI85" s="2">
        <v>0</v>
      </c>
      <c r="AJ85" s="53">
        <v>0</v>
      </c>
      <c r="AK85" s="38">
        <v>102.30500860767722</v>
      </c>
      <c r="AL85" s="38">
        <v>2.2000000000000002</v>
      </c>
      <c r="AM85" s="52">
        <v>4986.01</v>
      </c>
      <c r="AN85" s="15">
        <v>6348.97</v>
      </c>
      <c r="AP85" s="36" t="s">
        <v>17</v>
      </c>
      <c r="AQ85" s="15">
        <v>6913.8440000000001</v>
      </c>
      <c r="AR85" s="2">
        <v>1</v>
      </c>
      <c r="AS85" s="2">
        <v>0</v>
      </c>
      <c r="AT85" s="2">
        <v>0</v>
      </c>
      <c r="AU85" s="3">
        <v>102.71422864210793</v>
      </c>
      <c r="AV85" s="38">
        <v>2.0666666666666669</v>
      </c>
      <c r="AW85" s="16">
        <v>4919.18</v>
      </c>
      <c r="AX85" s="15">
        <v>6958.7889999999998</v>
      </c>
    </row>
    <row r="86" spans="2:50" x14ac:dyDescent="0.25">
      <c r="B86" s="7" t="s">
        <v>17</v>
      </c>
      <c r="C86" s="15"/>
      <c r="D86" s="15"/>
      <c r="E86" s="15"/>
      <c r="F86" s="15">
        <v>6077</v>
      </c>
      <c r="G86" s="15">
        <v>6651</v>
      </c>
      <c r="H86" s="15">
        <f t="shared" si="6"/>
        <v>6364</v>
      </c>
      <c r="I86" s="15"/>
      <c r="J86" s="15"/>
      <c r="K86" s="15"/>
      <c r="L86" s="15"/>
      <c r="M86" s="15">
        <v>6913.8440000000001</v>
      </c>
      <c r="N86" s="15">
        <v>5690.38</v>
      </c>
      <c r="O86" s="15">
        <v>5823.8149999999996</v>
      </c>
      <c r="P86" s="15">
        <f t="shared" si="7"/>
        <v>5757.0974999999999</v>
      </c>
      <c r="Q86" s="15">
        <v>5744.62</v>
      </c>
      <c r="R86" s="15">
        <v>5429.4530000000004</v>
      </c>
      <c r="S86" s="15">
        <v>5852.32</v>
      </c>
      <c r="T86" s="15">
        <f t="shared" si="8"/>
        <v>5675.4643333333333</v>
      </c>
      <c r="U86" s="15">
        <v>5711.1189999999997</v>
      </c>
      <c r="V86" s="15">
        <v>5886.268</v>
      </c>
      <c r="W86" s="15">
        <f t="shared" si="9"/>
        <v>5798.6934999999994</v>
      </c>
      <c r="X86" s="3">
        <v>100.4</v>
      </c>
      <c r="Y86" s="38">
        <f t="shared" si="10"/>
        <v>1.004</v>
      </c>
      <c r="Z86" s="38">
        <f t="shared" si="11"/>
        <v>102.71422864210793</v>
      </c>
      <c r="AA86" s="3">
        <v>2.0666666666666669</v>
      </c>
      <c r="AB86" s="15"/>
      <c r="AC86" s="16">
        <v>4919.18</v>
      </c>
      <c r="AD86" s="44">
        <v>23</v>
      </c>
      <c r="AE86" s="25"/>
      <c r="AF86" s="36" t="s">
        <v>17</v>
      </c>
      <c r="AG86" s="15">
        <v>6913.8440000000001</v>
      </c>
      <c r="AH86" s="2">
        <v>1</v>
      </c>
      <c r="AI86" s="2">
        <v>0</v>
      </c>
      <c r="AJ86" s="53">
        <v>0</v>
      </c>
      <c r="AK86" s="38">
        <v>102.71422864210793</v>
      </c>
      <c r="AL86" s="38">
        <v>2.0666666666666669</v>
      </c>
      <c r="AM86" s="52">
        <v>4919.18</v>
      </c>
      <c r="AN86" s="15">
        <v>6958.7889999999998</v>
      </c>
      <c r="AP86" s="36" t="s">
        <v>18</v>
      </c>
      <c r="AQ86" s="15">
        <v>6972.1450000000004</v>
      </c>
      <c r="AR86" s="2">
        <v>1</v>
      </c>
      <c r="AS86" s="2">
        <v>0</v>
      </c>
      <c r="AT86" s="2">
        <v>0</v>
      </c>
      <c r="AU86" s="3">
        <v>102.71422864210793</v>
      </c>
      <c r="AV86" s="38">
        <v>1.8999999999999997</v>
      </c>
      <c r="AW86" s="16">
        <v>4962.2</v>
      </c>
      <c r="AX86" s="15">
        <v>6913.8440000000001</v>
      </c>
    </row>
    <row r="87" spans="2:50" x14ac:dyDescent="0.25">
      <c r="B87" s="7" t="s">
        <v>18</v>
      </c>
      <c r="C87" s="15"/>
      <c r="D87" s="15"/>
      <c r="E87" s="15"/>
      <c r="F87" s="15">
        <v>6159</v>
      </c>
      <c r="G87" s="15">
        <v>6750</v>
      </c>
      <c r="H87" s="15">
        <f t="shared" si="6"/>
        <v>6454.5</v>
      </c>
      <c r="I87" s="15"/>
      <c r="J87" s="15"/>
      <c r="K87" s="15"/>
      <c r="L87" s="15"/>
      <c r="M87" s="15">
        <v>6972.1450000000004</v>
      </c>
      <c r="N87" s="15">
        <v>6118.0810000000001</v>
      </c>
      <c r="O87" s="15">
        <v>6388.6379999999999</v>
      </c>
      <c r="P87" s="15">
        <f t="shared" si="7"/>
        <v>6253.3595000000005</v>
      </c>
      <c r="Q87" s="15">
        <v>6001.8459999999995</v>
      </c>
      <c r="R87" s="15">
        <v>5756.2070000000003</v>
      </c>
      <c r="S87" s="15">
        <v>5669.26</v>
      </c>
      <c r="T87" s="15">
        <f t="shared" si="8"/>
        <v>5809.1043333333337</v>
      </c>
      <c r="U87" s="15">
        <v>5349.3410000000003</v>
      </c>
      <c r="V87" s="15">
        <v>5389.88</v>
      </c>
      <c r="W87" s="15">
        <f t="shared" si="9"/>
        <v>5369.6105000000007</v>
      </c>
      <c r="X87" s="3">
        <v>100</v>
      </c>
      <c r="Y87" s="38">
        <f t="shared" si="10"/>
        <v>1</v>
      </c>
      <c r="Z87" s="38">
        <f t="shared" si="11"/>
        <v>102.71422864210793</v>
      </c>
      <c r="AA87" s="3">
        <v>1.8999999999999997</v>
      </c>
      <c r="AB87" s="15"/>
      <c r="AC87" s="16">
        <v>4962.2</v>
      </c>
      <c r="AD87" s="44"/>
      <c r="AE87" s="25"/>
      <c r="AF87" s="36" t="s">
        <v>18</v>
      </c>
      <c r="AG87" s="15">
        <v>6972.1450000000004</v>
      </c>
      <c r="AH87" s="2">
        <v>1</v>
      </c>
      <c r="AI87" s="2">
        <v>0</v>
      </c>
      <c r="AJ87" s="53">
        <v>0</v>
      </c>
      <c r="AK87" s="38">
        <v>102.71422864210793</v>
      </c>
      <c r="AL87" s="38">
        <v>1.8999999999999997</v>
      </c>
      <c r="AM87" s="52">
        <v>4962.2</v>
      </c>
      <c r="AN87" s="15">
        <v>6913.8440000000001</v>
      </c>
      <c r="AP87" s="36" t="s">
        <v>19</v>
      </c>
      <c r="AQ87" s="15">
        <v>6984.1</v>
      </c>
      <c r="AR87" s="2">
        <v>1</v>
      </c>
      <c r="AS87" s="2">
        <v>0</v>
      </c>
      <c r="AT87" s="2">
        <v>0</v>
      </c>
      <c r="AU87" s="3">
        <v>102.91965709939214</v>
      </c>
      <c r="AV87" s="38">
        <v>1.8333333333333333</v>
      </c>
      <c r="AW87" s="16">
        <v>5245.92</v>
      </c>
      <c r="AX87" s="15">
        <v>6972.1450000000004</v>
      </c>
    </row>
    <row r="88" spans="2:50" x14ac:dyDescent="0.25">
      <c r="B88" s="7" t="s">
        <v>19</v>
      </c>
      <c r="C88" s="15"/>
      <c r="D88" s="15"/>
      <c r="E88" s="15"/>
      <c r="F88" s="15">
        <v>6191</v>
      </c>
      <c r="G88" s="15">
        <v>6905</v>
      </c>
      <c r="H88" s="15">
        <f t="shared" si="6"/>
        <v>6548</v>
      </c>
      <c r="I88" s="15"/>
      <c r="J88" s="15"/>
      <c r="K88" s="15"/>
      <c r="L88" s="15"/>
      <c r="M88" s="15">
        <v>6984.1</v>
      </c>
      <c r="N88" s="15">
        <v>6510.32</v>
      </c>
      <c r="O88" s="15">
        <v>6484.33</v>
      </c>
      <c r="P88" s="15">
        <f t="shared" si="7"/>
        <v>6497.3249999999998</v>
      </c>
      <c r="Q88" s="15">
        <v>6119.42</v>
      </c>
      <c r="R88" s="15">
        <v>5786.2</v>
      </c>
      <c r="S88" s="15">
        <v>5678.49</v>
      </c>
      <c r="T88" s="15">
        <f t="shared" si="8"/>
        <v>5861.37</v>
      </c>
      <c r="U88" s="15">
        <v>5549.17</v>
      </c>
      <c r="V88" s="15">
        <v>6000.1</v>
      </c>
      <c r="W88" s="15">
        <f t="shared" si="9"/>
        <v>5774.6350000000002</v>
      </c>
      <c r="X88" s="3">
        <v>100.2</v>
      </c>
      <c r="Y88" s="38">
        <f t="shared" si="10"/>
        <v>1.002</v>
      </c>
      <c r="Z88" s="38">
        <f t="shared" si="11"/>
        <v>102.91965709939214</v>
      </c>
      <c r="AA88" s="3">
        <v>1.8333333333333333</v>
      </c>
      <c r="AB88" s="15"/>
      <c r="AC88" s="16">
        <v>5245.92</v>
      </c>
      <c r="AD88" s="44">
        <v>0</v>
      </c>
      <c r="AE88" s="25"/>
      <c r="AF88" s="36" t="s">
        <v>19</v>
      </c>
      <c r="AG88" s="15">
        <v>6984.1</v>
      </c>
      <c r="AH88" s="2">
        <v>1</v>
      </c>
      <c r="AI88" s="2">
        <v>0</v>
      </c>
      <c r="AJ88" s="53">
        <v>0</v>
      </c>
      <c r="AK88" s="38">
        <v>102.91965709939214</v>
      </c>
      <c r="AL88" s="38">
        <v>1.8333333333333333</v>
      </c>
      <c r="AM88" s="52">
        <v>5245.92</v>
      </c>
      <c r="AN88" s="15">
        <v>6972.1450000000004</v>
      </c>
      <c r="AP88" s="36" t="s">
        <v>4</v>
      </c>
      <c r="AQ88" s="15">
        <v>5529.18</v>
      </c>
      <c r="AR88" s="2">
        <v>0</v>
      </c>
      <c r="AS88" s="30">
        <v>1</v>
      </c>
      <c r="AT88" s="2">
        <v>0</v>
      </c>
      <c r="AU88" s="3">
        <v>100</v>
      </c>
      <c r="AV88" s="38">
        <v>4.1333333333333337</v>
      </c>
      <c r="AW88" s="16">
        <v>4290.7299999999996</v>
      </c>
      <c r="AX88" s="15">
        <v>6984.1</v>
      </c>
    </row>
    <row r="89" spans="2:50" x14ac:dyDescent="0.25">
      <c r="B89" s="24" t="s">
        <v>4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6"/>
      <c r="Y89" s="26"/>
      <c r="Z89" s="26"/>
      <c r="AA89" s="26"/>
      <c r="AB89" s="25"/>
      <c r="AC89" s="27"/>
      <c r="AD89" s="25"/>
      <c r="AE89" s="25"/>
      <c r="AF89" s="36" t="s">
        <v>4</v>
      </c>
      <c r="AG89" s="15">
        <v>5529.18</v>
      </c>
      <c r="AH89" s="2">
        <v>0</v>
      </c>
      <c r="AI89" s="30">
        <v>1</v>
      </c>
      <c r="AJ89" s="53">
        <v>0</v>
      </c>
      <c r="AK89" s="38">
        <v>100</v>
      </c>
      <c r="AL89" s="38">
        <v>4.1333333333333337</v>
      </c>
      <c r="AM89" s="52">
        <v>4290.7299999999996</v>
      </c>
      <c r="AN89" s="15">
        <v>6984.1</v>
      </c>
      <c r="AP89" s="36" t="s">
        <v>5</v>
      </c>
      <c r="AQ89" s="15">
        <v>5604.4400000000005</v>
      </c>
      <c r="AR89" s="2">
        <v>0</v>
      </c>
      <c r="AS89" s="30">
        <v>1</v>
      </c>
      <c r="AT89" s="2">
        <v>0</v>
      </c>
      <c r="AU89" s="3">
        <v>100.49999999999999</v>
      </c>
      <c r="AV89" s="38">
        <v>3.9</v>
      </c>
      <c r="AW89" s="16">
        <v>4230.3599999999997</v>
      </c>
      <c r="AX89" s="15">
        <v>5529.18</v>
      </c>
    </row>
    <row r="90" spans="2:50" x14ac:dyDescent="0.25">
      <c r="B90" s="24" t="s">
        <v>5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6"/>
      <c r="Y90" s="26"/>
      <c r="Z90" s="26"/>
      <c r="AA90" s="26"/>
      <c r="AB90" s="25"/>
      <c r="AC90" s="27"/>
      <c r="AD90" s="25"/>
      <c r="AE90" s="25"/>
      <c r="AF90" s="36" t="s">
        <v>5</v>
      </c>
      <c r="AG90" s="15">
        <v>5604.4400000000005</v>
      </c>
      <c r="AH90" s="2">
        <v>0</v>
      </c>
      <c r="AI90" s="30">
        <v>1</v>
      </c>
      <c r="AJ90" s="53">
        <v>0</v>
      </c>
      <c r="AK90" s="38">
        <v>100.49999999999999</v>
      </c>
      <c r="AL90" s="38">
        <v>3.9</v>
      </c>
      <c r="AM90" s="52">
        <v>4230.3599999999997</v>
      </c>
      <c r="AN90" s="15">
        <v>5529.18</v>
      </c>
      <c r="AP90" s="36" t="s">
        <v>6</v>
      </c>
      <c r="AQ90" s="15">
        <v>5358.9049999999997</v>
      </c>
      <c r="AR90" s="2">
        <v>0</v>
      </c>
      <c r="AS90" s="30">
        <v>1</v>
      </c>
      <c r="AT90" s="2">
        <v>0</v>
      </c>
      <c r="AU90" s="3">
        <v>100.19849999999998</v>
      </c>
      <c r="AV90" s="38">
        <v>3.6333333333333333</v>
      </c>
      <c r="AW90" s="16">
        <v>4192.01</v>
      </c>
      <c r="AX90" s="15">
        <v>5604.4400000000005</v>
      </c>
    </row>
    <row r="91" spans="2:50" x14ac:dyDescent="0.25">
      <c r="B91" s="24" t="s">
        <v>6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6"/>
      <c r="Y91" s="26"/>
      <c r="Z91" s="26"/>
      <c r="AA91" s="26"/>
      <c r="AB91" s="25"/>
      <c r="AC91" s="27"/>
      <c r="AD91" s="25"/>
      <c r="AE91" s="25"/>
      <c r="AF91" s="36" t="s">
        <v>6</v>
      </c>
      <c r="AG91" s="15">
        <v>5358.9049999999997</v>
      </c>
      <c r="AH91" s="2">
        <v>0</v>
      </c>
      <c r="AI91" s="30">
        <v>1</v>
      </c>
      <c r="AJ91" s="53">
        <v>0</v>
      </c>
      <c r="AK91" s="38">
        <v>100.19849999999998</v>
      </c>
      <c r="AL91" s="38">
        <v>3.6333333333333333</v>
      </c>
      <c r="AM91" s="52">
        <v>4192.01</v>
      </c>
      <c r="AN91" s="15">
        <v>5604.4400000000005</v>
      </c>
      <c r="AP91" s="36" t="s">
        <v>7</v>
      </c>
      <c r="AQ91" s="15">
        <v>5353.34</v>
      </c>
      <c r="AR91" s="2">
        <v>0</v>
      </c>
      <c r="AS91" s="30">
        <v>1</v>
      </c>
      <c r="AT91" s="2">
        <v>0</v>
      </c>
      <c r="AU91" s="3">
        <v>99.797705999999977</v>
      </c>
      <c r="AV91" s="38">
        <v>3.4</v>
      </c>
      <c r="AW91" s="16">
        <v>4417.13</v>
      </c>
      <c r="AX91" s="15">
        <v>5358.9049999999997</v>
      </c>
    </row>
    <row r="92" spans="2:50" x14ac:dyDescent="0.25">
      <c r="B92" s="24" t="s">
        <v>7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6"/>
      <c r="Y92" s="26"/>
      <c r="Z92" s="26"/>
      <c r="AA92" s="26"/>
      <c r="AB92" s="25"/>
      <c r="AC92" s="27"/>
      <c r="AD92" s="25"/>
      <c r="AE92" s="25"/>
      <c r="AF92" s="36" t="s">
        <v>7</v>
      </c>
      <c r="AG92" s="15">
        <v>5353.34</v>
      </c>
      <c r="AH92" s="2">
        <v>0</v>
      </c>
      <c r="AI92" s="30">
        <v>1</v>
      </c>
      <c r="AJ92" s="53">
        <v>0</v>
      </c>
      <c r="AK92" s="38">
        <v>99.797705999999977</v>
      </c>
      <c r="AL92" s="38">
        <v>3.4</v>
      </c>
      <c r="AM92" s="52">
        <v>4417.13</v>
      </c>
      <c r="AN92" s="15">
        <v>5358.9049999999997</v>
      </c>
      <c r="AP92" s="36" t="s">
        <v>8</v>
      </c>
      <c r="AQ92" s="15">
        <v>5477.6450000000004</v>
      </c>
      <c r="AR92" s="2">
        <v>0</v>
      </c>
      <c r="AS92" s="30">
        <v>1</v>
      </c>
      <c r="AT92" s="2">
        <v>0</v>
      </c>
      <c r="AU92" s="3">
        <v>99.099122057999978</v>
      </c>
      <c r="AV92" s="38">
        <v>3.4333333333333336</v>
      </c>
      <c r="AW92" s="16">
        <v>4443.83</v>
      </c>
      <c r="AX92" s="15">
        <v>5353.34</v>
      </c>
    </row>
    <row r="93" spans="2:50" x14ac:dyDescent="0.25">
      <c r="B93" s="24" t="s">
        <v>8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6"/>
      <c r="Y93" s="26"/>
      <c r="Z93" s="26"/>
      <c r="AA93" s="26"/>
      <c r="AB93" s="25"/>
      <c r="AC93" s="27"/>
      <c r="AD93" s="25"/>
      <c r="AE93" s="25"/>
      <c r="AF93" s="36" t="s">
        <v>8</v>
      </c>
      <c r="AG93" s="15">
        <v>5477.6450000000004</v>
      </c>
      <c r="AH93" s="2">
        <v>0</v>
      </c>
      <c r="AI93" s="30">
        <v>1</v>
      </c>
      <c r="AJ93" s="53">
        <v>0</v>
      </c>
      <c r="AK93" s="38">
        <v>99.099122057999978</v>
      </c>
      <c r="AL93" s="38">
        <v>3.4333333333333336</v>
      </c>
      <c r="AM93" s="52">
        <v>4443.83</v>
      </c>
      <c r="AN93" s="15">
        <v>5353.34</v>
      </c>
      <c r="AP93" s="36" t="s">
        <v>9</v>
      </c>
      <c r="AQ93" s="15">
        <v>5540.8150000000005</v>
      </c>
      <c r="AR93" s="2">
        <v>0</v>
      </c>
      <c r="AS93" s="30">
        <v>1</v>
      </c>
      <c r="AT93" s="2">
        <v>0</v>
      </c>
      <c r="AU93" s="3">
        <v>99.59461766828997</v>
      </c>
      <c r="AV93" s="38">
        <v>3.1999999999999997</v>
      </c>
      <c r="AW93" s="16">
        <v>4286.4399999999996</v>
      </c>
      <c r="AX93" s="15">
        <v>5477.6450000000004</v>
      </c>
    </row>
    <row r="94" spans="2:50" x14ac:dyDescent="0.25">
      <c r="B94" s="24" t="s">
        <v>9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6"/>
      <c r="Y94" s="26"/>
      <c r="Z94" s="26"/>
      <c r="AA94" s="26"/>
      <c r="AB94" s="25"/>
      <c r="AC94" s="27"/>
      <c r="AD94" s="25"/>
      <c r="AE94" s="25"/>
      <c r="AF94" s="36" t="s">
        <v>9</v>
      </c>
      <c r="AG94" s="15">
        <v>5540.8150000000005</v>
      </c>
      <c r="AH94" s="2">
        <v>0</v>
      </c>
      <c r="AI94" s="30">
        <v>1</v>
      </c>
      <c r="AJ94" s="53">
        <v>0</v>
      </c>
      <c r="AK94" s="38">
        <v>99.59461766828997</v>
      </c>
      <c r="AL94" s="38">
        <v>3.1999999999999997</v>
      </c>
      <c r="AM94" s="52">
        <v>4286.4399999999996</v>
      </c>
      <c r="AN94" s="15">
        <v>5477.6450000000004</v>
      </c>
      <c r="AP94" s="36" t="s">
        <v>10</v>
      </c>
      <c r="AQ94" s="15">
        <v>5661.2250000000004</v>
      </c>
      <c r="AR94" s="2">
        <v>0</v>
      </c>
      <c r="AS94" s="30">
        <v>1</v>
      </c>
      <c r="AT94" s="2">
        <v>0</v>
      </c>
      <c r="AU94" s="3">
        <v>99.295833815285107</v>
      </c>
      <c r="AV94" s="38">
        <v>3.0666666666666664</v>
      </c>
      <c r="AW94" s="16">
        <v>4474.43</v>
      </c>
      <c r="AX94" s="15">
        <v>5540.8150000000005</v>
      </c>
    </row>
    <row r="95" spans="2:50" x14ac:dyDescent="0.25">
      <c r="B95" s="24" t="s">
        <v>10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6"/>
      <c r="Y95" s="26"/>
      <c r="Z95" s="26"/>
      <c r="AA95" s="26"/>
      <c r="AB95" s="25"/>
      <c r="AC95" s="27"/>
      <c r="AD95" s="25"/>
      <c r="AE95" s="25"/>
      <c r="AF95" s="36" t="s">
        <v>10</v>
      </c>
      <c r="AG95" s="15">
        <v>5661.2250000000004</v>
      </c>
      <c r="AH95" s="2">
        <v>0</v>
      </c>
      <c r="AI95" s="30">
        <v>1</v>
      </c>
      <c r="AJ95" s="53">
        <v>0</v>
      </c>
      <c r="AK95" s="38">
        <v>99.295833815285107</v>
      </c>
      <c r="AL95" s="38">
        <v>3.0666666666666664</v>
      </c>
      <c r="AM95" s="52">
        <v>4474.43</v>
      </c>
      <c r="AN95" s="15">
        <v>5540.8150000000005</v>
      </c>
      <c r="AP95" s="36" t="s">
        <v>11</v>
      </c>
      <c r="AQ95" s="15">
        <v>5669.8099999999995</v>
      </c>
      <c r="AR95" s="2">
        <v>0</v>
      </c>
      <c r="AS95" s="30">
        <v>1</v>
      </c>
      <c r="AT95" s="2">
        <v>0</v>
      </c>
      <c r="AU95" s="3">
        <v>99.792312984361516</v>
      </c>
      <c r="AV95" s="38">
        <v>2.7999999999999994</v>
      </c>
      <c r="AW95" s="16">
        <v>4616.2299999999996</v>
      </c>
      <c r="AX95" s="15">
        <v>5661.2250000000004</v>
      </c>
    </row>
    <row r="96" spans="2:50" x14ac:dyDescent="0.25">
      <c r="B96" s="24" t="s">
        <v>11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6"/>
      <c r="Y96" s="26"/>
      <c r="Z96" s="26"/>
      <c r="AA96" s="26"/>
      <c r="AB96" s="25"/>
      <c r="AC96" s="27"/>
      <c r="AD96" s="25"/>
      <c r="AE96" s="25"/>
      <c r="AF96" s="36" t="s">
        <v>11</v>
      </c>
      <c r="AG96" s="15">
        <v>5669.8099999999995</v>
      </c>
      <c r="AH96" s="2">
        <v>0</v>
      </c>
      <c r="AI96" s="30">
        <v>1</v>
      </c>
      <c r="AJ96" s="53">
        <v>0</v>
      </c>
      <c r="AK96" s="38">
        <v>99.792312984361516</v>
      </c>
      <c r="AL96" s="38">
        <v>2.7999999999999994</v>
      </c>
      <c r="AM96" s="52">
        <v>4616.2299999999996</v>
      </c>
      <c r="AN96" s="15">
        <v>5661.2250000000004</v>
      </c>
      <c r="AP96" s="36" t="s">
        <v>12</v>
      </c>
      <c r="AQ96" s="15">
        <v>5599.2</v>
      </c>
      <c r="AR96" s="2">
        <v>0</v>
      </c>
      <c r="AS96" s="30">
        <v>1</v>
      </c>
      <c r="AT96" s="2">
        <v>0</v>
      </c>
      <c r="AU96" s="3">
        <v>101.0896130531582</v>
      </c>
      <c r="AV96" s="38">
        <v>2.7333333333333329</v>
      </c>
      <c r="AW96" s="16">
        <v>4648.6899999999996</v>
      </c>
      <c r="AX96" s="15">
        <v>5669.8099999999995</v>
      </c>
    </row>
    <row r="97" spans="2:50" x14ac:dyDescent="0.25">
      <c r="B97" s="24" t="s">
        <v>12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6"/>
      <c r="Y97" s="26"/>
      <c r="Z97" s="26"/>
      <c r="AA97" s="26"/>
      <c r="AB97" s="25"/>
      <c r="AC97" s="27"/>
      <c r="AD97" s="25"/>
      <c r="AE97" s="25"/>
      <c r="AF97" s="36" t="s">
        <v>12</v>
      </c>
      <c r="AG97" s="15">
        <v>5599.2</v>
      </c>
      <c r="AH97" s="2">
        <v>0</v>
      </c>
      <c r="AI97" s="30">
        <v>1</v>
      </c>
      <c r="AJ97" s="53">
        <v>0</v>
      </c>
      <c r="AK97" s="38">
        <v>101.0896130531582</v>
      </c>
      <c r="AL97" s="38">
        <v>2.7333333333333329</v>
      </c>
      <c r="AM97" s="52">
        <v>4648.6899999999996</v>
      </c>
      <c r="AN97" s="15">
        <v>5669.8099999999995</v>
      </c>
      <c r="AP97" s="36" t="s">
        <v>13</v>
      </c>
      <c r="AQ97" s="15">
        <v>5726.8109999999997</v>
      </c>
      <c r="AR97" s="2">
        <v>0</v>
      </c>
      <c r="AS97" s="30">
        <v>1</v>
      </c>
      <c r="AT97" s="2">
        <v>0</v>
      </c>
      <c r="AU97" s="3">
        <v>101.29179227926451</v>
      </c>
      <c r="AV97" s="38">
        <v>2.5666666666666669</v>
      </c>
      <c r="AW97" s="16">
        <v>4657.1099999999997</v>
      </c>
      <c r="AX97" s="15">
        <v>5599.2</v>
      </c>
    </row>
    <row r="98" spans="2:50" x14ac:dyDescent="0.25">
      <c r="B98" s="24" t="s">
        <v>13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6"/>
      <c r="Y98" s="26"/>
      <c r="Z98" s="26"/>
      <c r="AA98" s="26"/>
      <c r="AB98" s="25"/>
      <c r="AC98" s="27"/>
      <c r="AD98" s="25"/>
      <c r="AE98" s="25"/>
      <c r="AF98" s="36" t="s">
        <v>13</v>
      </c>
      <c r="AG98" s="15">
        <v>5726.8109999999997</v>
      </c>
      <c r="AH98" s="2">
        <v>0</v>
      </c>
      <c r="AI98" s="30">
        <v>1</v>
      </c>
      <c r="AJ98" s="53">
        <v>0</v>
      </c>
      <c r="AK98" s="38">
        <v>101.29179227926451</v>
      </c>
      <c r="AL98" s="38">
        <v>2.5666666666666669</v>
      </c>
      <c r="AM98" s="52">
        <v>4657.1099999999997</v>
      </c>
      <c r="AN98" s="15">
        <v>5599.2</v>
      </c>
      <c r="AP98" s="36" t="s">
        <v>14</v>
      </c>
      <c r="AQ98" s="15">
        <v>5727.5830000000005</v>
      </c>
      <c r="AR98" s="2">
        <v>0</v>
      </c>
      <c r="AS98" s="30">
        <v>1</v>
      </c>
      <c r="AT98" s="2">
        <v>0</v>
      </c>
      <c r="AU98" s="3">
        <v>101.08920869470599</v>
      </c>
      <c r="AV98" s="38">
        <v>2.4333333333333336</v>
      </c>
      <c r="AW98" s="16">
        <v>4607.47</v>
      </c>
      <c r="AX98" s="15">
        <v>5726.8109999999997</v>
      </c>
    </row>
    <row r="99" spans="2:50" x14ac:dyDescent="0.25">
      <c r="B99" s="24" t="s">
        <v>14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6"/>
      <c r="Y99" s="26"/>
      <c r="Z99" s="26"/>
      <c r="AA99" s="26"/>
      <c r="AB99" s="25"/>
      <c r="AC99" s="27"/>
      <c r="AD99" s="25"/>
      <c r="AE99" s="25"/>
      <c r="AF99" s="36" t="s">
        <v>14</v>
      </c>
      <c r="AG99" s="15">
        <v>5727.5830000000005</v>
      </c>
      <c r="AH99" s="2">
        <v>0</v>
      </c>
      <c r="AI99" s="30">
        <v>1</v>
      </c>
      <c r="AJ99" s="53">
        <v>0</v>
      </c>
      <c r="AK99" s="38">
        <v>101.08920869470599</v>
      </c>
      <c r="AL99" s="38">
        <v>2.4333333333333336</v>
      </c>
      <c r="AM99" s="52">
        <v>4607.47</v>
      </c>
      <c r="AN99" s="15">
        <v>5726.8109999999997</v>
      </c>
      <c r="AP99" s="36" t="s">
        <v>15</v>
      </c>
      <c r="AQ99" s="15">
        <v>5871.4949999999999</v>
      </c>
      <c r="AR99" s="2">
        <v>0</v>
      </c>
      <c r="AS99" s="30">
        <v>1</v>
      </c>
      <c r="AT99" s="2">
        <v>0</v>
      </c>
      <c r="AU99" s="3">
        <v>101.99901157295835</v>
      </c>
      <c r="AV99" s="38">
        <v>2.1666666666666665</v>
      </c>
      <c r="AW99" s="16">
        <v>4974.3599999999997</v>
      </c>
      <c r="AX99" s="15">
        <v>5727.5830000000005</v>
      </c>
    </row>
    <row r="100" spans="2:50" x14ac:dyDescent="0.25">
      <c r="B100" s="24" t="s">
        <v>15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6"/>
      <c r="Y100" s="26"/>
      <c r="Z100" s="26"/>
      <c r="AA100" s="26"/>
      <c r="AB100" s="25"/>
      <c r="AC100" s="27"/>
      <c r="AD100" s="25"/>
      <c r="AE100" s="25"/>
      <c r="AF100" s="36" t="s">
        <v>15</v>
      </c>
      <c r="AG100" s="15">
        <v>5871.4949999999999</v>
      </c>
      <c r="AH100" s="2">
        <v>0</v>
      </c>
      <c r="AI100" s="30">
        <v>1</v>
      </c>
      <c r="AJ100" s="53">
        <v>0</v>
      </c>
      <c r="AK100" s="38">
        <v>101.99901157295835</v>
      </c>
      <c r="AL100" s="38">
        <v>2.1666666666666665</v>
      </c>
      <c r="AM100" s="52">
        <v>4974.3599999999997</v>
      </c>
      <c r="AN100" s="15">
        <v>5727.5830000000005</v>
      </c>
      <c r="AP100" s="36" t="s">
        <v>16</v>
      </c>
      <c r="AQ100" s="15">
        <v>5846.9565000000002</v>
      </c>
      <c r="AR100" s="2">
        <v>0</v>
      </c>
      <c r="AS100" s="30">
        <v>1</v>
      </c>
      <c r="AT100" s="2">
        <v>0</v>
      </c>
      <c r="AU100" s="3">
        <v>102.30500860767722</v>
      </c>
      <c r="AV100" s="38">
        <v>2.2000000000000002</v>
      </c>
      <c r="AW100" s="16">
        <v>4986.01</v>
      </c>
      <c r="AX100" s="15">
        <v>5871.4949999999999</v>
      </c>
    </row>
    <row r="101" spans="2:50" x14ac:dyDescent="0.25">
      <c r="B101" s="24" t="s">
        <v>16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6"/>
      <c r="Y101" s="26"/>
      <c r="Z101" s="26"/>
      <c r="AA101" s="26"/>
      <c r="AB101" s="25"/>
      <c r="AC101" s="27"/>
      <c r="AD101" s="25"/>
      <c r="AE101" s="25"/>
      <c r="AF101" s="36" t="s">
        <v>16</v>
      </c>
      <c r="AG101" s="15">
        <v>5846.9565000000002</v>
      </c>
      <c r="AH101" s="2">
        <v>0</v>
      </c>
      <c r="AI101" s="30">
        <v>1</v>
      </c>
      <c r="AJ101" s="53">
        <v>0</v>
      </c>
      <c r="AK101" s="38">
        <v>102.30500860767722</v>
      </c>
      <c r="AL101" s="38">
        <v>2.2000000000000002</v>
      </c>
      <c r="AM101" s="52">
        <v>4986.01</v>
      </c>
      <c r="AN101" s="15">
        <v>5871.4949999999999</v>
      </c>
      <c r="AP101" s="36" t="s">
        <v>17</v>
      </c>
      <c r="AQ101" s="15">
        <v>5757.0974999999999</v>
      </c>
      <c r="AR101" s="2">
        <v>0</v>
      </c>
      <c r="AS101" s="30">
        <v>1</v>
      </c>
      <c r="AT101" s="2">
        <v>0</v>
      </c>
      <c r="AU101" s="3">
        <v>102.71422864210793</v>
      </c>
      <c r="AV101" s="38">
        <v>2.0666666666666669</v>
      </c>
      <c r="AW101" s="16">
        <v>4919.18</v>
      </c>
      <c r="AX101" s="15">
        <v>5846.9565000000002</v>
      </c>
    </row>
    <row r="102" spans="2:50" x14ac:dyDescent="0.25">
      <c r="B102" s="24" t="s">
        <v>17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6"/>
      <c r="Y102" s="26"/>
      <c r="Z102" s="26"/>
      <c r="AA102" s="26"/>
      <c r="AB102" s="25"/>
      <c r="AC102" s="27"/>
      <c r="AD102" s="25"/>
      <c r="AE102" s="25"/>
      <c r="AF102" s="36" t="s">
        <v>17</v>
      </c>
      <c r="AG102" s="15">
        <v>5757.0974999999999</v>
      </c>
      <c r="AH102" s="2">
        <v>0</v>
      </c>
      <c r="AI102" s="30">
        <v>1</v>
      </c>
      <c r="AJ102" s="53">
        <v>0</v>
      </c>
      <c r="AK102" s="38">
        <v>102.71422864210793</v>
      </c>
      <c r="AL102" s="38">
        <v>2.0666666666666669</v>
      </c>
      <c r="AM102" s="52">
        <v>4919.18</v>
      </c>
      <c r="AN102" s="15">
        <v>5846.9565000000002</v>
      </c>
      <c r="AP102" s="36" t="s">
        <v>18</v>
      </c>
      <c r="AQ102" s="15">
        <v>6253.3595000000005</v>
      </c>
      <c r="AR102" s="2">
        <v>0</v>
      </c>
      <c r="AS102" s="30">
        <v>1</v>
      </c>
      <c r="AT102" s="2">
        <v>0</v>
      </c>
      <c r="AU102" s="3">
        <v>102.71422864210793</v>
      </c>
      <c r="AV102" s="38">
        <v>1.8999999999999997</v>
      </c>
      <c r="AW102" s="16">
        <v>4962.2</v>
      </c>
      <c r="AX102" s="15">
        <v>5757.0974999999999</v>
      </c>
    </row>
    <row r="103" spans="2:50" x14ac:dyDescent="0.25">
      <c r="B103" s="24" t="s">
        <v>18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6"/>
      <c r="Y103" s="26"/>
      <c r="Z103" s="26"/>
      <c r="AA103" s="26"/>
      <c r="AB103" s="25"/>
      <c r="AC103" s="27"/>
      <c r="AD103" s="25"/>
      <c r="AE103" s="25"/>
      <c r="AF103" s="36" t="s">
        <v>18</v>
      </c>
      <c r="AG103" s="15">
        <v>6253.3595000000005</v>
      </c>
      <c r="AH103" s="2">
        <v>0</v>
      </c>
      <c r="AI103" s="30">
        <v>1</v>
      </c>
      <c r="AJ103" s="53">
        <v>0</v>
      </c>
      <c r="AK103" s="38">
        <v>102.71422864210793</v>
      </c>
      <c r="AL103" s="38">
        <v>1.8999999999999997</v>
      </c>
      <c r="AM103" s="52">
        <v>4962.2</v>
      </c>
      <c r="AN103" s="15">
        <v>5757.0974999999999</v>
      </c>
      <c r="AP103" s="36" t="s">
        <v>19</v>
      </c>
      <c r="AQ103" s="15">
        <v>6497.3249999999998</v>
      </c>
      <c r="AR103" s="2">
        <v>0</v>
      </c>
      <c r="AS103" s="30">
        <v>1</v>
      </c>
      <c r="AT103" s="2">
        <v>0</v>
      </c>
      <c r="AU103" s="3">
        <v>102.91965709939214</v>
      </c>
      <c r="AV103" s="38">
        <v>1.8333333333333333</v>
      </c>
      <c r="AW103" s="16">
        <v>5245.92</v>
      </c>
      <c r="AX103" s="15">
        <v>6253.3595000000005</v>
      </c>
    </row>
    <row r="104" spans="2:50" x14ac:dyDescent="0.25">
      <c r="B104" s="24" t="s">
        <v>19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6"/>
      <c r="Y104" s="26"/>
      <c r="Z104" s="26"/>
      <c r="AA104" s="26"/>
      <c r="AB104" s="25"/>
      <c r="AC104" s="27"/>
      <c r="AD104" s="25"/>
      <c r="AE104" s="25"/>
      <c r="AF104" s="36" t="s">
        <v>19</v>
      </c>
      <c r="AG104" s="15">
        <v>6497.3249999999998</v>
      </c>
      <c r="AH104" s="2">
        <v>0</v>
      </c>
      <c r="AI104" s="30">
        <v>1</v>
      </c>
      <c r="AJ104" s="53">
        <v>0</v>
      </c>
      <c r="AK104" s="38">
        <v>102.91965709939214</v>
      </c>
      <c r="AL104" s="38">
        <v>1.8333333333333333</v>
      </c>
      <c r="AM104" s="52">
        <v>5245.92</v>
      </c>
      <c r="AN104" s="15">
        <v>6253.3595000000005</v>
      </c>
      <c r="AP104" s="36" t="s">
        <v>4</v>
      </c>
      <c r="AQ104" s="15">
        <v>5440.7233333333343</v>
      </c>
      <c r="AR104" s="2">
        <v>0</v>
      </c>
      <c r="AS104" s="30">
        <v>0</v>
      </c>
      <c r="AT104" s="2">
        <v>1</v>
      </c>
      <c r="AU104" s="3">
        <v>100</v>
      </c>
      <c r="AV104" s="38">
        <v>4.1333333333333337</v>
      </c>
      <c r="AW104" s="16">
        <v>4290.7299999999996</v>
      </c>
      <c r="AX104" s="15">
        <v>6497.3249999999998</v>
      </c>
    </row>
    <row r="105" spans="2:50" x14ac:dyDescent="0.25">
      <c r="B105" s="24" t="s">
        <v>4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6"/>
      <c r="Y105" s="26"/>
      <c r="Z105" s="26"/>
      <c r="AA105" s="26"/>
      <c r="AB105" s="25"/>
      <c r="AC105" s="27"/>
      <c r="AD105" s="25"/>
      <c r="AE105" s="25"/>
      <c r="AF105" s="36" t="s">
        <v>4</v>
      </c>
      <c r="AG105" s="15">
        <v>5440.7233333333343</v>
      </c>
      <c r="AH105" s="2">
        <v>0</v>
      </c>
      <c r="AI105" s="30">
        <v>0</v>
      </c>
      <c r="AJ105" s="53">
        <v>1</v>
      </c>
      <c r="AK105" s="38">
        <v>100</v>
      </c>
      <c r="AL105" s="38">
        <v>4.1333333333333337</v>
      </c>
      <c r="AM105" s="52">
        <v>4290.7299999999996</v>
      </c>
      <c r="AN105" s="15">
        <v>6497.3249999999998</v>
      </c>
      <c r="AP105" s="36" t="s">
        <v>5</v>
      </c>
      <c r="AQ105" s="15">
        <v>5617.3833333333341</v>
      </c>
      <c r="AR105" s="2">
        <v>0</v>
      </c>
      <c r="AS105" s="30">
        <v>0</v>
      </c>
      <c r="AT105" s="2">
        <v>1</v>
      </c>
      <c r="AU105" s="3">
        <v>100.49999999999999</v>
      </c>
      <c r="AV105" s="38">
        <v>3.9</v>
      </c>
      <c r="AW105" s="16">
        <v>4230.3599999999997</v>
      </c>
      <c r="AX105" s="15">
        <v>5440.7233333333343</v>
      </c>
    </row>
    <row r="106" spans="2:50" x14ac:dyDescent="0.25">
      <c r="B106" s="24" t="s">
        <v>5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6"/>
      <c r="Y106" s="26"/>
      <c r="Z106" s="26"/>
      <c r="AA106" s="26"/>
      <c r="AB106" s="25"/>
      <c r="AC106" s="27"/>
      <c r="AD106" s="25"/>
      <c r="AE106" s="25"/>
      <c r="AF106" s="36" t="s">
        <v>5</v>
      </c>
      <c r="AG106" s="15">
        <v>5617.3833333333341</v>
      </c>
      <c r="AH106" s="2">
        <v>0</v>
      </c>
      <c r="AI106" s="30">
        <v>0</v>
      </c>
      <c r="AJ106" s="53">
        <v>1</v>
      </c>
      <c r="AK106" s="38">
        <v>100.49999999999999</v>
      </c>
      <c r="AL106" s="38">
        <v>3.9</v>
      </c>
      <c r="AM106" s="52">
        <v>4230.3599999999997</v>
      </c>
      <c r="AN106" s="15">
        <v>5440.7233333333343</v>
      </c>
      <c r="AP106" s="36" t="s">
        <v>6</v>
      </c>
      <c r="AQ106" s="15">
        <v>5696.9033333333327</v>
      </c>
      <c r="AR106" s="2">
        <v>0</v>
      </c>
      <c r="AS106" s="30">
        <v>0</v>
      </c>
      <c r="AT106" s="2">
        <v>1</v>
      </c>
      <c r="AU106" s="3">
        <v>100.19849999999998</v>
      </c>
      <c r="AV106" s="38">
        <v>3.6333333333333333</v>
      </c>
      <c r="AW106" s="16">
        <v>4192.01</v>
      </c>
      <c r="AX106" s="15">
        <v>5617.3833333333341</v>
      </c>
    </row>
    <row r="107" spans="2:50" x14ac:dyDescent="0.25">
      <c r="B107" s="24" t="s">
        <v>6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6"/>
      <c r="Y107" s="26"/>
      <c r="Z107" s="26"/>
      <c r="AA107" s="26"/>
      <c r="AB107" s="25"/>
      <c r="AC107" s="27"/>
      <c r="AD107" s="25"/>
      <c r="AE107" s="25"/>
      <c r="AF107" s="36" t="s">
        <v>6</v>
      </c>
      <c r="AG107" s="15">
        <v>5696.9033333333327</v>
      </c>
      <c r="AH107" s="2">
        <v>0</v>
      </c>
      <c r="AI107" s="30">
        <v>0</v>
      </c>
      <c r="AJ107" s="53">
        <v>1</v>
      </c>
      <c r="AK107" s="38">
        <v>100.19849999999998</v>
      </c>
      <c r="AL107" s="38">
        <v>3.6333333333333333</v>
      </c>
      <c r="AM107" s="52">
        <v>4192.01</v>
      </c>
      <c r="AN107" s="15">
        <v>5617.3833333333341</v>
      </c>
      <c r="AP107" s="36" t="s">
        <v>7</v>
      </c>
      <c r="AQ107" s="15">
        <v>5594.3233333333337</v>
      </c>
      <c r="AR107" s="2">
        <v>0</v>
      </c>
      <c r="AS107" s="30">
        <v>0</v>
      </c>
      <c r="AT107" s="2">
        <v>1</v>
      </c>
      <c r="AU107" s="3">
        <v>99.797705999999977</v>
      </c>
      <c r="AV107" s="38">
        <v>3.4</v>
      </c>
      <c r="AW107" s="16">
        <v>4417.13</v>
      </c>
      <c r="AX107" s="15">
        <v>5696.9033333333327</v>
      </c>
    </row>
    <row r="108" spans="2:50" x14ac:dyDescent="0.25">
      <c r="B108" s="24" t="s">
        <v>7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6"/>
      <c r="Y108" s="26"/>
      <c r="Z108" s="26"/>
      <c r="AA108" s="26"/>
      <c r="AB108" s="25"/>
      <c r="AC108" s="27"/>
      <c r="AD108" s="25"/>
      <c r="AE108" s="25"/>
      <c r="AF108" s="36" t="s">
        <v>7</v>
      </c>
      <c r="AG108" s="15">
        <v>5594.3233333333337</v>
      </c>
      <c r="AH108" s="2">
        <v>0</v>
      </c>
      <c r="AI108" s="30">
        <v>0</v>
      </c>
      <c r="AJ108" s="53">
        <v>1</v>
      </c>
      <c r="AK108" s="38">
        <v>99.797705999999977</v>
      </c>
      <c r="AL108" s="38">
        <v>3.4</v>
      </c>
      <c r="AM108" s="52">
        <v>4417.13</v>
      </c>
      <c r="AN108" s="15">
        <v>5696.9033333333327</v>
      </c>
      <c r="AP108" s="36" t="s">
        <v>8</v>
      </c>
      <c r="AQ108" s="15">
        <v>5500.3166666666666</v>
      </c>
      <c r="AR108" s="2">
        <v>0</v>
      </c>
      <c r="AS108" s="30">
        <v>0</v>
      </c>
      <c r="AT108" s="2">
        <v>1</v>
      </c>
      <c r="AU108" s="3">
        <v>99.099122057999978</v>
      </c>
      <c r="AV108" s="38">
        <v>3.4333333333333336</v>
      </c>
      <c r="AW108" s="16">
        <v>4443.83</v>
      </c>
      <c r="AX108" s="15">
        <v>5594.3233333333337</v>
      </c>
    </row>
    <row r="109" spans="2:50" x14ac:dyDescent="0.25">
      <c r="B109" s="24" t="s">
        <v>8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6"/>
      <c r="Y109" s="26"/>
      <c r="Z109" s="26"/>
      <c r="AA109" s="26"/>
      <c r="AB109" s="25"/>
      <c r="AC109" s="27"/>
      <c r="AD109" s="25"/>
      <c r="AE109" s="25"/>
      <c r="AF109" s="36" t="s">
        <v>8</v>
      </c>
      <c r="AG109" s="15">
        <v>5500.3166666666666</v>
      </c>
      <c r="AH109" s="2">
        <v>0</v>
      </c>
      <c r="AI109" s="30">
        <v>0</v>
      </c>
      <c r="AJ109" s="53">
        <v>1</v>
      </c>
      <c r="AK109" s="38">
        <v>99.099122057999978</v>
      </c>
      <c r="AL109" s="38">
        <v>3.4333333333333336</v>
      </c>
      <c r="AM109" s="52">
        <v>4443.83</v>
      </c>
      <c r="AN109" s="15">
        <v>5594.3233333333337</v>
      </c>
      <c r="AP109" s="36" t="s">
        <v>9</v>
      </c>
      <c r="AQ109" s="15">
        <v>5341.5533333333333</v>
      </c>
      <c r="AR109" s="2">
        <v>0</v>
      </c>
      <c r="AS109" s="30">
        <v>0</v>
      </c>
      <c r="AT109" s="2">
        <v>1</v>
      </c>
      <c r="AU109" s="3">
        <v>99.59461766828997</v>
      </c>
      <c r="AV109" s="38">
        <v>3.1999999999999997</v>
      </c>
      <c r="AW109" s="16">
        <v>4286.4399999999996</v>
      </c>
      <c r="AX109" s="15">
        <v>5500.3166666666666</v>
      </c>
    </row>
    <row r="110" spans="2:50" x14ac:dyDescent="0.25">
      <c r="B110" s="24" t="s">
        <v>9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6"/>
      <c r="Y110" s="26"/>
      <c r="Z110" s="26"/>
      <c r="AA110" s="26"/>
      <c r="AB110" s="25"/>
      <c r="AC110" s="27"/>
      <c r="AD110" s="25"/>
      <c r="AE110" s="25"/>
      <c r="AF110" s="36" t="s">
        <v>9</v>
      </c>
      <c r="AG110" s="15">
        <v>5341.5533333333333</v>
      </c>
      <c r="AH110" s="2">
        <v>0</v>
      </c>
      <c r="AI110" s="30">
        <v>0</v>
      </c>
      <c r="AJ110" s="53">
        <v>1</v>
      </c>
      <c r="AK110" s="38">
        <v>99.59461766828997</v>
      </c>
      <c r="AL110" s="38">
        <v>3.1999999999999997</v>
      </c>
      <c r="AM110" s="52">
        <v>4286.4399999999996</v>
      </c>
      <c r="AN110" s="15">
        <v>5500.3166666666666</v>
      </c>
      <c r="AP110" s="36" t="s">
        <v>10</v>
      </c>
      <c r="AQ110" s="15">
        <v>5334.9866666666667</v>
      </c>
      <c r="AR110" s="2">
        <v>0</v>
      </c>
      <c r="AS110" s="30">
        <v>0</v>
      </c>
      <c r="AT110" s="2">
        <v>1</v>
      </c>
      <c r="AU110" s="3">
        <v>99.295833815285107</v>
      </c>
      <c r="AV110" s="38">
        <v>3.0666666666666664</v>
      </c>
      <c r="AW110" s="16">
        <v>4474.43</v>
      </c>
      <c r="AX110" s="15">
        <v>5341.5533333333333</v>
      </c>
    </row>
    <row r="111" spans="2:50" x14ac:dyDescent="0.25">
      <c r="B111" s="24" t="s">
        <v>10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6"/>
      <c r="Y111" s="26"/>
      <c r="Z111" s="26"/>
      <c r="AA111" s="26"/>
      <c r="AB111" s="25"/>
      <c r="AC111" s="27"/>
      <c r="AD111" s="25"/>
      <c r="AE111" s="25"/>
      <c r="AF111" s="36" t="s">
        <v>10</v>
      </c>
      <c r="AG111" s="15">
        <v>5334.9866666666667</v>
      </c>
      <c r="AH111" s="2">
        <v>0</v>
      </c>
      <c r="AI111" s="30">
        <v>0</v>
      </c>
      <c r="AJ111" s="53">
        <v>1</v>
      </c>
      <c r="AK111" s="38">
        <v>99.295833815285107</v>
      </c>
      <c r="AL111" s="38">
        <v>3.0666666666666664</v>
      </c>
      <c r="AM111" s="52">
        <v>4474.43</v>
      </c>
      <c r="AN111" s="15">
        <v>5341.5533333333333</v>
      </c>
      <c r="AP111" s="36" t="s">
        <v>11</v>
      </c>
      <c r="AQ111" s="15">
        <v>5295.0033333333331</v>
      </c>
      <c r="AR111" s="2">
        <v>0</v>
      </c>
      <c r="AS111" s="30">
        <v>0</v>
      </c>
      <c r="AT111" s="2">
        <v>1</v>
      </c>
      <c r="AU111" s="3">
        <v>99.792312984361516</v>
      </c>
      <c r="AV111" s="38">
        <v>2.7999999999999994</v>
      </c>
      <c r="AW111" s="16">
        <v>4616.2299999999996</v>
      </c>
      <c r="AX111" s="15">
        <v>5334.9866666666667</v>
      </c>
    </row>
    <row r="112" spans="2:50" x14ac:dyDescent="0.25">
      <c r="B112" s="24" t="s">
        <v>11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6"/>
      <c r="Y112" s="26"/>
      <c r="Z112" s="26"/>
      <c r="AA112" s="26"/>
      <c r="AB112" s="25"/>
      <c r="AC112" s="27"/>
      <c r="AD112" s="25"/>
      <c r="AE112" s="25"/>
      <c r="AF112" s="36" t="s">
        <v>11</v>
      </c>
      <c r="AG112" s="15">
        <v>5295.0033333333331</v>
      </c>
      <c r="AH112" s="2">
        <v>0</v>
      </c>
      <c r="AI112" s="30">
        <v>0</v>
      </c>
      <c r="AJ112" s="53">
        <v>1</v>
      </c>
      <c r="AK112" s="38">
        <v>99.792312984361516</v>
      </c>
      <c r="AL112" s="38">
        <v>2.7999999999999994</v>
      </c>
      <c r="AM112" s="52">
        <v>4616.2299999999996</v>
      </c>
      <c r="AN112" s="15">
        <v>5334.9866666666667</v>
      </c>
      <c r="AP112" s="36" t="s">
        <v>12</v>
      </c>
      <c r="AQ112" s="15">
        <v>5556.02</v>
      </c>
      <c r="AR112" s="2">
        <v>0</v>
      </c>
      <c r="AS112" s="30">
        <v>0</v>
      </c>
      <c r="AT112" s="2">
        <v>1</v>
      </c>
      <c r="AU112" s="3">
        <v>101.0896130531582</v>
      </c>
      <c r="AV112" s="38">
        <v>2.7333333333333329</v>
      </c>
      <c r="AW112" s="16">
        <v>4648.6899999999996</v>
      </c>
      <c r="AX112" s="15">
        <v>5295.0033333333331</v>
      </c>
    </row>
    <row r="113" spans="2:50" x14ac:dyDescent="0.25">
      <c r="B113" s="24" t="s">
        <v>12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6"/>
      <c r="Y113" s="26"/>
      <c r="Z113" s="26"/>
      <c r="AA113" s="26"/>
      <c r="AB113" s="25"/>
      <c r="AC113" s="27"/>
      <c r="AD113" s="25"/>
      <c r="AE113" s="25"/>
      <c r="AF113" s="36" t="s">
        <v>12</v>
      </c>
      <c r="AG113" s="15">
        <v>5556.02</v>
      </c>
      <c r="AH113" s="2">
        <v>0</v>
      </c>
      <c r="AI113" s="30">
        <v>0</v>
      </c>
      <c r="AJ113" s="53">
        <v>1</v>
      </c>
      <c r="AK113" s="38">
        <v>101.0896130531582</v>
      </c>
      <c r="AL113" s="38">
        <v>2.7333333333333329</v>
      </c>
      <c r="AM113" s="52">
        <v>4648.6899999999996</v>
      </c>
      <c r="AN113" s="15">
        <v>5295.0033333333331</v>
      </c>
      <c r="AP113" s="36" t="s">
        <v>13</v>
      </c>
      <c r="AQ113" s="15">
        <v>5490.0343333333331</v>
      </c>
      <c r="AR113" s="2">
        <v>0</v>
      </c>
      <c r="AS113" s="30">
        <v>0</v>
      </c>
      <c r="AT113" s="2">
        <v>1</v>
      </c>
      <c r="AU113" s="3">
        <v>101.29179227926451</v>
      </c>
      <c r="AV113" s="38">
        <v>2.5666666666666669</v>
      </c>
      <c r="AW113" s="16">
        <v>4657.1099999999997</v>
      </c>
      <c r="AX113" s="15">
        <v>5556.02</v>
      </c>
    </row>
    <row r="114" spans="2:50" x14ac:dyDescent="0.25">
      <c r="B114" s="24" t="s">
        <v>13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6"/>
      <c r="Y114" s="26"/>
      <c r="Z114" s="26"/>
      <c r="AA114" s="26"/>
      <c r="AB114" s="25"/>
      <c r="AC114" s="27"/>
      <c r="AD114" s="25"/>
      <c r="AE114" s="25"/>
      <c r="AF114" s="36" t="s">
        <v>13</v>
      </c>
      <c r="AG114" s="15">
        <v>5490.0343333333331</v>
      </c>
      <c r="AH114" s="2">
        <v>0</v>
      </c>
      <c r="AI114" s="30">
        <v>0</v>
      </c>
      <c r="AJ114" s="53">
        <v>1</v>
      </c>
      <c r="AK114" s="38">
        <v>101.29179227926451</v>
      </c>
      <c r="AL114" s="38">
        <v>2.5666666666666669</v>
      </c>
      <c r="AM114" s="52">
        <v>4657.1099999999997</v>
      </c>
      <c r="AN114" s="15">
        <v>5556.02</v>
      </c>
      <c r="AP114" s="36" t="s">
        <v>14</v>
      </c>
      <c r="AQ114" s="15">
        <v>5496.5410000000002</v>
      </c>
      <c r="AR114" s="2">
        <v>0</v>
      </c>
      <c r="AS114" s="30">
        <v>0</v>
      </c>
      <c r="AT114" s="2">
        <v>1</v>
      </c>
      <c r="AU114" s="3">
        <v>101.08920869470599</v>
      </c>
      <c r="AV114" s="38">
        <v>2.4333333333333336</v>
      </c>
      <c r="AW114" s="16">
        <v>4607.47</v>
      </c>
      <c r="AX114" s="15">
        <v>5490.0343333333331</v>
      </c>
    </row>
    <row r="115" spans="2:50" x14ac:dyDescent="0.25">
      <c r="B115" s="24" t="s">
        <v>14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6"/>
      <c r="Y115" s="26"/>
      <c r="Z115" s="26"/>
      <c r="AA115" s="26"/>
      <c r="AB115" s="25"/>
      <c r="AC115" s="27"/>
      <c r="AD115" s="25"/>
      <c r="AE115" s="25"/>
      <c r="AF115" s="36" t="s">
        <v>14</v>
      </c>
      <c r="AG115" s="15">
        <v>5496.5410000000002</v>
      </c>
      <c r="AH115" s="2">
        <v>0</v>
      </c>
      <c r="AI115" s="30">
        <v>0</v>
      </c>
      <c r="AJ115" s="53">
        <v>1</v>
      </c>
      <c r="AK115" s="38">
        <v>101.08920869470599</v>
      </c>
      <c r="AL115" s="38">
        <v>2.4333333333333336</v>
      </c>
      <c r="AM115" s="52">
        <v>4607.47</v>
      </c>
      <c r="AN115" s="15">
        <v>5490.0343333333331</v>
      </c>
      <c r="AP115" s="36" t="s">
        <v>15</v>
      </c>
      <c r="AQ115" s="15">
        <v>5433.8966666666665</v>
      </c>
      <c r="AR115" s="2">
        <v>0</v>
      </c>
      <c r="AS115" s="30">
        <v>0</v>
      </c>
      <c r="AT115" s="2">
        <v>1</v>
      </c>
      <c r="AU115" s="3">
        <v>101.99901157295835</v>
      </c>
      <c r="AV115" s="38">
        <v>2.1666666666666665</v>
      </c>
      <c r="AW115" s="16">
        <v>4974.3599999999997</v>
      </c>
      <c r="AX115" s="15">
        <v>5496.5410000000002</v>
      </c>
    </row>
    <row r="116" spans="2:50" x14ac:dyDescent="0.25">
      <c r="B116" s="24" t="s">
        <v>15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6"/>
      <c r="Y116" s="26"/>
      <c r="Z116" s="26"/>
      <c r="AA116" s="26"/>
      <c r="AB116" s="25"/>
      <c r="AC116" s="27"/>
      <c r="AD116" s="25"/>
      <c r="AE116" s="25"/>
      <c r="AF116" s="36" t="s">
        <v>15</v>
      </c>
      <c r="AG116" s="15">
        <v>5433.8966666666665</v>
      </c>
      <c r="AH116" s="2">
        <v>0</v>
      </c>
      <c r="AI116" s="30">
        <v>0</v>
      </c>
      <c r="AJ116" s="53">
        <v>1</v>
      </c>
      <c r="AK116" s="38">
        <v>101.99901157295835</v>
      </c>
      <c r="AL116" s="38">
        <v>2.1666666666666665</v>
      </c>
      <c r="AM116" s="52">
        <v>4974.3599999999997</v>
      </c>
      <c r="AN116" s="15">
        <v>5496.5410000000002</v>
      </c>
      <c r="AP116" s="36" t="s">
        <v>16</v>
      </c>
      <c r="AQ116" s="15">
        <v>5631.2016666666668</v>
      </c>
      <c r="AR116" s="2">
        <v>0</v>
      </c>
      <c r="AS116" s="30">
        <v>0</v>
      </c>
      <c r="AT116" s="2">
        <v>1</v>
      </c>
      <c r="AU116" s="3">
        <v>102.30500860767722</v>
      </c>
      <c r="AV116" s="38">
        <v>2.2000000000000002</v>
      </c>
      <c r="AW116" s="16">
        <v>4986.01</v>
      </c>
      <c r="AX116" s="15">
        <v>5433.8966666666665</v>
      </c>
    </row>
    <row r="117" spans="2:50" x14ac:dyDescent="0.25">
      <c r="B117" s="24" t="s">
        <v>16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6"/>
      <c r="Y117" s="26"/>
      <c r="Z117" s="26"/>
      <c r="AA117" s="26"/>
      <c r="AB117" s="25"/>
      <c r="AC117" s="27"/>
      <c r="AD117" s="25"/>
      <c r="AE117" s="25"/>
      <c r="AF117" s="36" t="s">
        <v>16</v>
      </c>
      <c r="AG117" s="15">
        <v>5631.2016666666668</v>
      </c>
      <c r="AH117" s="2">
        <v>0</v>
      </c>
      <c r="AI117" s="30">
        <v>0</v>
      </c>
      <c r="AJ117" s="53">
        <v>1</v>
      </c>
      <c r="AK117" s="38">
        <v>102.30500860767722</v>
      </c>
      <c r="AL117" s="38">
        <v>2.2000000000000002</v>
      </c>
      <c r="AM117" s="52">
        <v>4986.01</v>
      </c>
      <c r="AN117" s="15">
        <v>5433.8966666666665</v>
      </c>
      <c r="AP117" s="36" t="s">
        <v>17</v>
      </c>
      <c r="AQ117" s="15">
        <v>5675.4643333333333</v>
      </c>
      <c r="AR117" s="2">
        <v>0</v>
      </c>
      <c r="AS117" s="30">
        <v>0</v>
      </c>
      <c r="AT117" s="2">
        <v>1</v>
      </c>
      <c r="AU117" s="3">
        <v>102.71422864210793</v>
      </c>
      <c r="AV117" s="38">
        <v>2.0666666666666669</v>
      </c>
      <c r="AW117" s="16">
        <v>4919.18</v>
      </c>
      <c r="AX117" s="15">
        <v>5631.2016666666668</v>
      </c>
    </row>
    <row r="118" spans="2:50" x14ac:dyDescent="0.25">
      <c r="B118" s="24" t="s">
        <v>17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6"/>
      <c r="Y118" s="26"/>
      <c r="Z118" s="26"/>
      <c r="AA118" s="26"/>
      <c r="AB118" s="25"/>
      <c r="AC118" s="27"/>
      <c r="AD118" s="25"/>
      <c r="AE118" s="25"/>
      <c r="AF118" s="36" t="s">
        <v>17</v>
      </c>
      <c r="AG118" s="15">
        <v>5675.4643333333333</v>
      </c>
      <c r="AH118" s="2">
        <v>0</v>
      </c>
      <c r="AI118" s="30">
        <v>0</v>
      </c>
      <c r="AJ118" s="53">
        <v>1</v>
      </c>
      <c r="AK118" s="38">
        <v>102.71422864210793</v>
      </c>
      <c r="AL118" s="38">
        <v>2.0666666666666669</v>
      </c>
      <c r="AM118" s="52">
        <v>4919.18</v>
      </c>
      <c r="AN118" s="15">
        <v>5631.2016666666668</v>
      </c>
      <c r="AP118" s="36" t="s">
        <v>18</v>
      </c>
      <c r="AQ118" s="15">
        <v>5809.1043333333337</v>
      </c>
      <c r="AR118" s="2">
        <v>0</v>
      </c>
      <c r="AS118" s="30">
        <v>0</v>
      </c>
      <c r="AT118" s="2">
        <v>1</v>
      </c>
      <c r="AU118" s="3">
        <v>102.71422864210793</v>
      </c>
      <c r="AV118" s="38">
        <v>1.8999999999999997</v>
      </c>
      <c r="AW118" s="16">
        <v>4962.2</v>
      </c>
      <c r="AX118" s="15">
        <v>5675.4643333333333</v>
      </c>
    </row>
    <row r="119" spans="2:50" x14ac:dyDescent="0.25">
      <c r="B119" s="24" t="s">
        <v>18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6"/>
      <c r="Y119" s="26"/>
      <c r="Z119" s="26"/>
      <c r="AA119" s="26"/>
      <c r="AB119" s="25"/>
      <c r="AC119" s="27"/>
      <c r="AD119" s="25"/>
      <c r="AE119" s="25"/>
      <c r="AF119" s="36" t="s">
        <v>18</v>
      </c>
      <c r="AG119" s="15">
        <v>5809.1043333333337</v>
      </c>
      <c r="AH119" s="2">
        <v>0</v>
      </c>
      <c r="AI119" s="30">
        <v>0</v>
      </c>
      <c r="AJ119" s="53">
        <v>1</v>
      </c>
      <c r="AK119" s="38">
        <v>102.71422864210793</v>
      </c>
      <c r="AL119" s="38">
        <v>1.8999999999999997</v>
      </c>
      <c r="AM119" s="52">
        <v>4962.2</v>
      </c>
      <c r="AN119" s="15">
        <v>5675.4643333333333</v>
      </c>
      <c r="AP119" s="36" t="s">
        <v>19</v>
      </c>
      <c r="AQ119" s="15">
        <v>5861.37</v>
      </c>
      <c r="AR119" s="2">
        <v>0</v>
      </c>
      <c r="AS119" s="30">
        <v>0</v>
      </c>
      <c r="AT119" s="2">
        <v>1</v>
      </c>
      <c r="AU119" s="3">
        <v>102.91965709939214</v>
      </c>
      <c r="AV119" s="38">
        <v>1.8333333333333333</v>
      </c>
      <c r="AW119" s="16">
        <v>5245.92</v>
      </c>
      <c r="AX119" s="15">
        <v>5809.1043333333337</v>
      </c>
    </row>
    <row r="120" spans="2:50" x14ac:dyDescent="0.25">
      <c r="B120" s="24" t="s">
        <v>19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6"/>
      <c r="Y120" s="26"/>
      <c r="Z120" s="26"/>
      <c r="AA120" s="26"/>
      <c r="AB120" s="25"/>
      <c r="AC120" s="27"/>
      <c r="AD120" s="25"/>
      <c r="AE120" s="25"/>
      <c r="AF120" s="36" t="s">
        <v>19</v>
      </c>
      <c r="AG120" s="15">
        <v>5861.37</v>
      </c>
      <c r="AH120" s="2">
        <v>0</v>
      </c>
      <c r="AI120" s="30">
        <v>0</v>
      </c>
      <c r="AJ120" s="53">
        <v>1</v>
      </c>
      <c r="AK120" s="38">
        <v>102.91965709939214</v>
      </c>
      <c r="AL120" s="38">
        <v>1.8333333333333333</v>
      </c>
      <c r="AM120" s="52">
        <v>5245.92</v>
      </c>
      <c r="AN120" s="15">
        <v>5809.1043333333337</v>
      </c>
      <c r="AP120" s="36" t="s">
        <v>4</v>
      </c>
      <c r="AQ120" s="15">
        <v>5817.58</v>
      </c>
      <c r="AR120" s="2">
        <v>-1</v>
      </c>
      <c r="AS120" s="2">
        <v>-1</v>
      </c>
      <c r="AT120" s="2">
        <v>-1</v>
      </c>
      <c r="AU120" s="3">
        <v>100</v>
      </c>
      <c r="AV120" s="38">
        <v>4.1333333333333337</v>
      </c>
      <c r="AW120" s="16">
        <v>4290.7299999999996</v>
      </c>
      <c r="AX120" s="15">
        <v>5861.37</v>
      </c>
    </row>
    <row r="121" spans="2:50" x14ac:dyDescent="0.25">
      <c r="B121" s="41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6"/>
      <c r="Y121" s="26"/>
      <c r="Z121" s="26"/>
      <c r="AA121" s="26"/>
      <c r="AB121" s="25"/>
      <c r="AC121" s="27"/>
      <c r="AD121" s="25"/>
      <c r="AE121" s="25"/>
      <c r="AF121" s="36" t="s">
        <v>4</v>
      </c>
      <c r="AG121" s="15">
        <v>5817.58</v>
      </c>
      <c r="AH121" s="2">
        <v>-1</v>
      </c>
      <c r="AI121" s="2">
        <v>-1</v>
      </c>
      <c r="AJ121" s="53">
        <v>-1</v>
      </c>
      <c r="AK121" s="38">
        <v>100</v>
      </c>
      <c r="AL121" s="38">
        <v>4.1333333333333337</v>
      </c>
      <c r="AM121" s="52">
        <v>4290.7299999999996</v>
      </c>
      <c r="AN121" s="15">
        <v>5861.37</v>
      </c>
      <c r="AP121" s="36" t="s">
        <v>5</v>
      </c>
      <c r="AQ121" s="15">
        <v>5859.6849999999995</v>
      </c>
      <c r="AR121" s="2">
        <v>-1</v>
      </c>
      <c r="AS121" s="2">
        <v>-1</v>
      </c>
      <c r="AT121" s="2">
        <v>-1</v>
      </c>
      <c r="AU121" s="3">
        <v>100.49999999999999</v>
      </c>
      <c r="AV121" s="38">
        <v>3.9</v>
      </c>
      <c r="AW121" s="16">
        <v>4230.3599999999997</v>
      </c>
      <c r="AX121" s="15">
        <v>5817.58</v>
      </c>
    </row>
    <row r="122" spans="2:50" x14ac:dyDescent="0.25">
      <c r="B122" s="41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6"/>
      <c r="Y122" s="26"/>
      <c r="Z122" s="26"/>
      <c r="AA122" s="26"/>
      <c r="AB122" s="25"/>
      <c r="AC122" s="27"/>
      <c r="AD122" s="25"/>
      <c r="AE122" s="25"/>
      <c r="AF122" s="36" t="s">
        <v>5</v>
      </c>
      <c r="AG122" s="15">
        <v>5859.6849999999995</v>
      </c>
      <c r="AH122" s="2">
        <v>-1</v>
      </c>
      <c r="AI122" s="2">
        <v>-1</v>
      </c>
      <c r="AJ122" s="53">
        <v>-1</v>
      </c>
      <c r="AK122" s="38">
        <v>100.49999999999999</v>
      </c>
      <c r="AL122" s="38">
        <v>3.9</v>
      </c>
      <c r="AM122" s="52">
        <v>4230.3599999999997</v>
      </c>
      <c r="AN122" s="15">
        <v>5817.58</v>
      </c>
      <c r="AP122" s="36" t="s">
        <v>6</v>
      </c>
      <c r="AQ122" s="15">
        <v>5884.9449999999997</v>
      </c>
      <c r="AR122" s="2">
        <v>-1</v>
      </c>
      <c r="AS122" s="2">
        <v>-1</v>
      </c>
      <c r="AT122" s="2">
        <v>-1</v>
      </c>
      <c r="AU122" s="3">
        <v>100.19849999999998</v>
      </c>
      <c r="AV122" s="38">
        <v>3.6333333333333333</v>
      </c>
      <c r="AW122" s="16">
        <v>4192.01</v>
      </c>
      <c r="AX122" s="15">
        <v>5859.6849999999995</v>
      </c>
    </row>
    <row r="123" spans="2:50" x14ac:dyDescent="0.25">
      <c r="B123" s="41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6"/>
      <c r="Y123" s="26"/>
      <c r="Z123" s="26"/>
      <c r="AA123" s="26"/>
      <c r="AB123" s="25"/>
      <c r="AC123" s="27"/>
      <c r="AD123" s="25"/>
      <c r="AE123" s="25"/>
      <c r="AF123" s="36" t="s">
        <v>6</v>
      </c>
      <c r="AG123" s="15">
        <v>5884.9449999999997</v>
      </c>
      <c r="AH123" s="2">
        <v>-1</v>
      </c>
      <c r="AI123" s="2">
        <v>-1</v>
      </c>
      <c r="AJ123" s="53">
        <v>-1</v>
      </c>
      <c r="AK123" s="38">
        <v>100.19849999999998</v>
      </c>
      <c r="AL123" s="38">
        <v>3.6333333333333333</v>
      </c>
      <c r="AM123" s="52">
        <v>4192.01</v>
      </c>
      <c r="AN123" s="15">
        <v>5859.6849999999995</v>
      </c>
      <c r="AP123" s="36" t="s">
        <v>7</v>
      </c>
      <c r="AQ123" s="15">
        <v>5774.89</v>
      </c>
      <c r="AR123" s="2">
        <v>-1</v>
      </c>
      <c r="AS123" s="2">
        <v>-1</v>
      </c>
      <c r="AT123" s="2">
        <v>-1</v>
      </c>
      <c r="AU123" s="3">
        <v>99.797705999999977</v>
      </c>
      <c r="AV123" s="38">
        <v>3.4</v>
      </c>
      <c r="AW123" s="16">
        <v>4417.13</v>
      </c>
      <c r="AX123" s="15">
        <v>5884.9449999999997</v>
      </c>
    </row>
    <row r="124" spans="2:50" x14ac:dyDescent="0.25">
      <c r="B124" s="41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6"/>
      <c r="Y124" s="26"/>
      <c r="Z124" s="26"/>
      <c r="AA124" s="26"/>
      <c r="AB124" s="25"/>
      <c r="AC124" s="27"/>
      <c r="AD124" s="25"/>
      <c r="AE124" s="25"/>
      <c r="AF124" s="36" t="s">
        <v>7</v>
      </c>
      <c r="AG124" s="15">
        <v>5774.89</v>
      </c>
      <c r="AH124" s="2">
        <v>-1</v>
      </c>
      <c r="AI124" s="2">
        <v>-1</v>
      </c>
      <c r="AJ124" s="53">
        <v>-1</v>
      </c>
      <c r="AK124" s="38">
        <v>99.797705999999977</v>
      </c>
      <c r="AL124" s="38">
        <v>3.4</v>
      </c>
      <c r="AM124" s="52">
        <v>4417.13</v>
      </c>
      <c r="AN124" s="15">
        <v>5884.9449999999997</v>
      </c>
      <c r="AP124" s="36" t="s">
        <v>8</v>
      </c>
      <c r="AQ124" s="15">
        <v>5647.085</v>
      </c>
      <c r="AR124" s="2">
        <v>-1</v>
      </c>
      <c r="AS124" s="2">
        <v>-1</v>
      </c>
      <c r="AT124" s="2">
        <v>-1</v>
      </c>
      <c r="AU124" s="3">
        <v>99.099122057999978</v>
      </c>
      <c r="AV124" s="38">
        <v>3.4333333333333336</v>
      </c>
      <c r="AW124" s="16">
        <v>4443.83</v>
      </c>
      <c r="AX124" s="15">
        <v>5774.89</v>
      </c>
    </row>
    <row r="125" spans="2:50" x14ac:dyDescent="0.25">
      <c r="B125" s="41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6"/>
      <c r="Y125" s="26"/>
      <c r="Z125" s="26"/>
      <c r="AA125" s="26"/>
      <c r="AB125" s="25"/>
      <c r="AC125" s="27"/>
      <c r="AD125" s="25"/>
      <c r="AE125" s="25"/>
      <c r="AF125" s="36" t="s">
        <v>8</v>
      </c>
      <c r="AG125" s="15">
        <v>5647.085</v>
      </c>
      <c r="AH125" s="2">
        <v>-1</v>
      </c>
      <c r="AI125" s="2">
        <v>-1</v>
      </c>
      <c r="AJ125" s="53">
        <v>-1</v>
      </c>
      <c r="AK125" s="38">
        <v>99.099122057999978</v>
      </c>
      <c r="AL125" s="38">
        <v>3.4333333333333336</v>
      </c>
      <c r="AM125" s="52">
        <v>4443.83</v>
      </c>
      <c r="AN125" s="15">
        <v>5774.89</v>
      </c>
      <c r="AP125" s="36" t="s">
        <v>9</v>
      </c>
      <c r="AQ125" s="15">
        <v>5562.55</v>
      </c>
      <c r="AR125" s="2">
        <v>-1</v>
      </c>
      <c r="AS125" s="2">
        <v>-1</v>
      </c>
      <c r="AT125" s="2">
        <v>-1</v>
      </c>
      <c r="AU125" s="3">
        <v>99.59461766828997</v>
      </c>
      <c r="AV125" s="38">
        <v>3.1999999999999997</v>
      </c>
      <c r="AW125" s="16">
        <v>4286.4399999999996</v>
      </c>
      <c r="AX125" s="15">
        <v>5647.085</v>
      </c>
    </row>
    <row r="126" spans="2:50" x14ac:dyDescent="0.25">
      <c r="B126" s="41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6"/>
      <c r="Y126" s="26"/>
      <c r="Z126" s="26"/>
      <c r="AA126" s="26"/>
      <c r="AB126" s="25"/>
      <c r="AC126" s="27"/>
      <c r="AD126" s="25"/>
      <c r="AE126" s="25"/>
      <c r="AF126" s="36" t="s">
        <v>9</v>
      </c>
      <c r="AG126" s="15">
        <v>5562.55</v>
      </c>
      <c r="AH126" s="2">
        <v>-1</v>
      </c>
      <c r="AI126" s="2">
        <v>-1</v>
      </c>
      <c r="AJ126" s="53">
        <v>-1</v>
      </c>
      <c r="AK126" s="38">
        <v>99.59461766828997</v>
      </c>
      <c r="AL126" s="38">
        <v>3.1999999999999997</v>
      </c>
      <c r="AM126" s="52">
        <v>4286.4399999999996</v>
      </c>
      <c r="AN126" s="15">
        <v>5647.085</v>
      </c>
      <c r="AP126" s="36" t="s">
        <v>10</v>
      </c>
      <c r="AQ126" s="15">
        <v>5497.8150000000005</v>
      </c>
      <c r="AR126" s="2">
        <v>-1</v>
      </c>
      <c r="AS126" s="2">
        <v>-1</v>
      </c>
      <c r="AT126" s="2">
        <v>-1</v>
      </c>
      <c r="AU126" s="3">
        <v>99.295833815285107</v>
      </c>
      <c r="AV126" s="38">
        <v>3.0666666666666664</v>
      </c>
      <c r="AW126" s="16">
        <v>4474.43</v>
      </c>
      <c r="AX126" s="15">
        <v>5562.55</v>
      </c>
    </row>
    <row r="127" spans="2:50" x14ac:dyDescent="0.25">
      <c r="B127" s="41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6"/>
      <c r="Y127" s="26"/>
      <c r="Z127" s="26"/>
      <c r="AA127" s="26"/>
      <c r="AB127" s="25"/>
      <c r="AC127" s="27"/>
      <c r="AD127" s="25"/>
      <c r="AE127" s="25"/>
      <c r="AF127" s="36" t="s">
        <v>10</v>
      </c>
      <c r="AG127" s="15">
        <v>5497.8150000000005</v>
      </c>
      <c r="AH127" s="2">
        <v>-1</v>
      </c>
      <c r="AI127" s="2">
        <v>-1</v>
      </c>
      <c r="AJ127" s="53">
        <v>-1</v>
      </c>
      <c r="AK127" s="38">
        <v>99.295833815285107</v>
      </c>
      <c r="AL127" s="38">
        <v>3.0666666666666664</v>
      </c>
      <c r="AM127" s="52">
        <v>4474.43</v>
      </c>
      <c r="AN127" s="15">
        <v>5562.55</v>
      </c>
      <c r="AP127" s="36" t="s">
        <v>11</v>
      </c>
      <c r="AQ127" s="15">
        <v>5635.3149999999996</v>
      </c>
      <c r="AR127" s="2">
        <v>-1</v>
      </c>
      <c r="AS127" s="2">
        <v>-1</v>
      </c>
      <c r="AT127" s="2">
        <v>-1</v>
      </c>
      <c r="AU127" s="3">
        <v>99.792312984361516</v>
      </c>
      <c r="AV127" s="38">
        <v>2.7999999999999994</v>
      </c>
      <c r="AW127" s="16">
        <v>4616.2299999999996</v>
      </c>
      <c r="AX127" s="15">
        <v>5497.8150000000005</v>
      </c>
    </row>
    <row r="128" spans="2:50" x14ac:dyDescent="0.25">
      <c r="B128" s="41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6"/>
      <c r="Y128" s="26"/>
      <c r="Z128" s="26"/>
      <c r="AA128" s="26"/>
      <c r="AB128" s="25"/>
      <c r="AC128" s="27"/>
      <c r="AD128" s="25"/>
      <c r="AE128" s="25"/>
      <c r="AF128" s="36" t="s">
        <v>11</v>
      </c>
      <c r="AG128" s="15">
        <v>5635.3149999999996</v>
      </c>
      <c r="AH128" s="2">
        <v>-1</v>
      </c>
      <c r="AI128" s="2">
        <v>-1</v>
      </c>
      <c r="AJ128" s="53">
        <v>-1</v>
      </c>
      <c r="AK128" s="38">
        <v>99.792312984361516</v>
      </c>
      <c r="AL128" s="38">
        <v>2.7999999999999994</v>
      </c>
      <c r="AM128" s="52">
        <v>4616.2299999999996</v>
      </c>
      <c r="AN128" s="15">
        <v>5497.8150000000005</v>
      </c>
      <c r="AP128" s="36" t="s">
        <v>12</v>
      </c>
      <c r="AQ128" s="15">
        <v>5581.0150000000003</v>
      </c>
      <c r="AR128" s="2">
        <v>-1</v>
      </c>
      <c r="AS128" s="2">
        <v>-1</v>
      </c>
      <c r="AT128" s="2">
        <v>-1</v>
      </c>
      <c r="AU128" s="3">
        <v>101.0896130531582</v>
      </c>
      <c r="AV128" s="38">
        <v>2.7333333333333329</v>
      </c>
      <c r="AW128" s="16">
        <v>4648.6899999999996</v>
      </c>
      <c r="AX128" s="15">
        <v>5635.3149999999996</v>
      </c>
    </row>
    <row r="129" spans="2:50" x14ac:dyDescent="0.25">
      <c r="B129" s="41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6"/>
      <c r="Y129" s="26"/>
      <c r="Z129" s="26"/>
      <c r="AA129" s="26"/>
      <c r="AB129" s="25"/>
      <c r="AC129" s="27"/>
      <c r="AD129" s="25"/>
      <c r="AE129" s="25"/>
      <c r="AF129" s="36" t="s">
        <v>12</v>
      </c>
      <c r="AG129" s="15">
        <v>5581.0150000000003</v>
      </c>
      <c r="AH129" s="2">
        <v>-1</v>
      </c>
      <c r="AI129" s="2">
        <v>-1</v>
      </c>
      <c r="AJ129" s="53">
        <v>-1</v>
      </c>
      <c r="AK129" s="38">
        <v>101.0896130531582</v>
      </c>
      <c r="AL129" s="38">
        <v>2.7333333333333329</v>
      </c>
      <c r="AM129" s="52">
        <v>4648.6899999999996</v>
      </c>
      <c r="AN129" s="15">
        <v>5635.3149999999996</v>
      </c>
      <c r="AP129" s="36" t="s">
        <v>13</v>
      </c>
      <c r="AQ129" s="15">
        <v>5646.3795</v>
      </c>
      <c r="AR129" s="2">
        <v>-1</v>
      </c>
      <c r="AS129" s="2">
        <v>-1</v>
      </c>
      <c r="AT129" s="2">
        <v>-1</v>
      </c>
      <c r="AU129" s="3">
        <v>101.29179227926451</v>
      </c>
      <c r="AV129" s="38">
        <v>2.5666666666666669</v>
      </c>
      <c r="AW129" s="16">
        <v>4657.1099999999997</v>
      </c>
      <c r="AX129" s="15">
        <v>5581.0150000000003</v>
      </c>
    </row>
    <row r="130" spans="2:50" x14ac:dyDescent="0.25">
      <c r="B130" s="41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6"/>
      <c r="Y130" s="26"/>
      <c r="Z130" s="26"/>
      <c r="AA130" s="26"/>
      <c r="AB130" s="25"/>
      <c r="AC130" s="27"/>
      <c r="AD130" s="25"/>
      <c r="AE130" s="25"/>
      <c r="AF130" s="36" t="s">
        <v>13</v>
      </c>
      <c r="AG130" s="15">
        <v>5646.3795</v>
      </c>
      <c r="AH130" s="2">
        <v>-1</v>
      </c>
      <c r="AI130" s="2">
        <v>-1</v>
      </c>
      <c r="AJ130" s="53">
        <v>-1</v>
      </c>
      <c r="AK130" s="38">
        <v>101.29179227926451</v>
      </c>
      <c r="AL130" s="38">
        <v>2.5666666666666669</v>
      </c>
      <c r="AM130" s="52">
        <v>4657.1099999999997</v>
      </c>
      <c r="AN130" s="15">
        <v>5581.0150000000003</v>
      </c>
      <c r="AP130" s="36" t="s">
        <v>14</v>
      </c>
      <c r="AQ130" s="15">
        <v>5734.7025000000003</v>
      </c>
      <c r="AR130" s="2">
        <v>-1</v>
      </c>
      <c r="AS130" s="2">
        <v>-1</v>
      </c>
      <c r="AT130" s="2">
        <v>-1</v>
      </c>
      <c r="AU130" s="3">
        <v>101.08920869470599</v>
      </c>
      <c r="AV130" s="38">
        <v>2.4333333333333336</v>
      </c>
      <c r="AW130" s="16">
        <v>4607.47</v>
      </c>
      <c r="AX130" s="15">
        <v>5646.3795</v>
      </c>
    </row>
    <row r="131" spans="2:50" x14ac:dyDescent="0.25">
      <c r="B131" s="41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6"/>
      <c r="Y131" s="26"/>
      <c r="Z131" s="26"/>
      <c r="AA131" s="26"/>
      <c r="AB131" s="25"/>
      <c r="AC131" s="27"/>
      <c r="AD131" s="25"/>
      <c r="AE131" s="25"/>
      <c r="AF131" s="36" t="s">
        <v>14</v>
      </c>
      <c r="AG131" s="15">
        <v>5734.7025000000003</v>
      </c>
      <c r="AH131" s="2">
        <v>-1</v>
      </c>
      <c r="AI131" s="2">
        <v>-1</v>
      </c>
      <c r="AJ131" s="53">
        <v>-1</v>
      </c>
      <c r="AK131" s="38">
        <v>101.08920869470599</v>
      </c>
      <c r="AL131" s="38">
        <v>2.4333333333333336</v>
      </c>
      <c r="AM131" s="52">
        <v>4607.47</v>
      </c>
      <c r="AN131" s="15">
        <v>5646.3795</v>
      </c>
      <c r="AP131" s="36" t="s">
        <v>15</v>
      </c>
      <c r="AQ131" s="15">
        <v>5591.6200000000008</v>
      </c>
      <c r="AR131" s="2">
        <v>-1</v>
      </c>
      <c r="AS131" s="2">
        <v>-1</v>
      </c>
      <c r="AT131" s="2">
        <v>-1</v>
      </c>
      <c r="AU131" s="3">
        <v>101.99901157295835</v>
      </c>
      <c r="AV131" s="38">
        <v>2.1666666666666665</v>
      </c>
      <c r="AW131" s="16">
        <v>4974.3599999999997</v>
      </c>
      <c r="AX131" s="15">
        <v>5734.7025000000003</v>
      </c>
    </row>
    <row r="132" spans="2:50" x14ac:dyDescent="0.25">
      <c r="B132" s="41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6"/>
      <c r="Y132" s="26"/>
      <c r="Z132" s="26"/>
      <c r="AA132" s="26"/>
      <c r="AB132" s="25"/>
      <c r="AC132" s="27"/>
      <c r="AD132" s="25"/>
      <c r="AE132" s="25"/>
      <c r="AF132" s="36" t="s">
        <v>15</v>
      </c>
      <c r="AG132" s="15">
        <v>5591.6200000000008</v>
      </c>
      <c r="AH132" s="2">
        <v>-1</v>
      </c>
      <c r="AI132" s="2">
        <v>-1</v>
      </c>
      <c r="AJ132" s="53">
        <v>-1</v>
      </c>
      <c r="AK132" s="38">
        <v>101.99901157295835</v>
      </c>
      <c r="AL132" s="38">
        <v>2.1666666666666665</v>
      </c>
      <c r="AM132" s="52">
        <v>4974.3599999999997</v>
      </c>
      <c r="AN132" s="15">
        <v>5734.7025000000003</v>
      </c>
      <c r="AP132" s="36" t="s">
        <v>16</v>
      </c>
      <c r="AQ132" s="15">
        <v>5696.3515000000007</v>
      </c>
      <c r="AR132" s="2">
        <v>-1</v>
      </c>
      <c r="AS132" s="2">
        <v>-1</v>
      </c>
      <c r="AT132" s="2">
        <v>-1</v>
      </c>
      <c r="AU132" s="3">
        <v>102.30500860767722</v>
      </c>
      <c r="AV132" s="38">
        <v>2.2000000000000002</v>
      </c>
      <c r="AW132" s="16">
        <v>4986.01</v>
      </c>
      <c r="AX132" s="15">
        <v>5591.6200000000008</v>
      </c>
    </row>
    <row r="133" spans="2:50" x14ac:dyDescent="0.25">
      <c r="B133" s="41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6"/>
      <c r="Y133" s="26"/>
      <c r="Z133" s="26"/>
      <c r="AA133" s="26"/>
      <c r="AB133" s="25"/>
      <c r="AC133" s="27"/>
      <c r="AD133" s="25"/>
      <c r="AE133" s="25"/>
      <c r="AF133" s="36" t="s">
        <v>16</v>
      </c>
      <c r="AG133" s="15">
        <v>5696.3515000000007</v>
      </c>
      <c r="AH133" s="2">
        <v>-1</v>
      </c>
      <c r="AI133" s="2">
        <v>-1</v>
      </c>
      <c r="AJ133" s="53">
        <v>-1</v>
      </c>
      <c r="AK133" s="38">
        <v>102.30500860767722</v>
      </c>
      <c r="AL133" s="38">
        <v>2.2000000000000002</v>
      </c>
      <c r="AM133" s="52">
        <v>4986.01</v>
      </c>
      <c r="AN133" s="15">
        <v>5591.6200000000008</v>
      </c>
      <c r="AP133" s="36" t="s">
        <v>17</v>
      </c>
      <c r="AQ133" s="15">
        <v>5798.6934999999994</v>
      </c>
      <c r="AR133" s="2">
        <v>-1</v>
      </c>
      <c r="AS133" s="2">
        <v>-1</v>
      </c>
      <c r="AT133" s="2">
        <v>-1</v>
      </c>
      <c r="AU133" s="3">
        <v>102.71422864210793</v>
      </c>
      <c r="AV133" s="38">
        <v>2.0666666666666669</v>
      </c>
      <c r="AW133" s="16">
        <v>4919.18</v>
      </c>
      <c r="AX133" s="15">
        <v>5696.3515000000007</v>
      </c>
    </row>
    <row r="134" spans="2:50" x14ac:dyDescent="0.25">
      <c r="B134" s="41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6"/>
      <c r="Y134" s="26"/>
      <c r="Z134" s="26"/>
      <c r="AA134" s="26"/>
      <c r="AB134" s="25"/>
      <c r="AC134" s="27"/>
      <c r="AD134" s="25"/>
      <c r="AE134" s="25"/>
      <c r="AF134" s="36" t="s">
        <v>17</v>
      </c>
      <c r="AG134" s="15">
        <v>5798.6934999999994</v>
      </c>
      <c r="AH134" s="2">
        <v>-1</v>
      </c>
      <c r="AI134" s="2">
        <v>-1</v>
      </c>
      <c r="AJ134" s="53">
        <v>-1</v>
      </c>
      <c r="AK134" s="38">
        <v>102.71422864210793</v>
      </c>
      <c r="AL134" s="38">
        <v>2.0666666666666669</v>
      </c>
      <c r="AM134" s="52">
        <v>4919.18</v>
      </c>
      <c r="AN134" s="15">
        <v>5696.3515000000007</v>
      </c>
      <c r="AP134" s="36" t="s">
        <v>18</v>
      </c>
      <c r="AQ134" s="15">
        <v>5369.6105000000007</v>
      </c>
      <c r="AR134" s="2">
        <v>-1</v>
      </c>
      <c r="AS134" s="2">
        <v>-1</v>
      </c>
      <c r="AT134" s="2">
        <v>-1</v>
      </c>
      <c r="AU134" s="3">
        <v>102.71422864210793</v>
      </c>
      <c r="AV134" s="38">
        <v>1.8999999999999997</v>
      </c>
      <c r="AW134" s="16">
        <v>4962.2</v>
      </c>
      <c r="AX134" s="15">
        <v>5798.6934999999994</v>
      </c>
    </row>
    <row r="135" spans="2:50" x14ac:dyDescent="0.25">
      <c r="B135" s="41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6"/>
      <c r="Y135" s="26"/>
      <c r="Z135" s="26"/>
      <c r="AA135" s="26"/>
      <c r="AB135" s="25"/>
      <c r="AC135" s="27"/>
      <c r="AD135" s="25"/>
      <c r="AE135" s="25"/>
      <c r="AF135" s="36" t="s">
        <v>18</v>
      </c>
      <c r="AG135" s="15">
        <v>5369.6105000000007</v>
      </c>
      <c r="AH135" s="2">
        <v>-1</v>
      </c>
      <c r="AI135" s="2">
        <v>-1</v>
      </c>
      <c r="AJ135" s="53">
        <v>-1</v>
      </c>
      <c r="AK135" s="38">
        <v>102.71422864210793</v>
      </c>
      <c r="AL135" s="38">
        <v>1.8999999999999997</v>
      </c>
      <c r="AM135" s="52">
        <v>4962.2</v>
      </c>
      <c r="AN135" s="15">
        <v>5798.6934999999994</v>
      </c>
      <c r="AP135" s="36" t="s">
        <v>19</v>
      </c>
      <c r="AQ135" s="15">
        <v>5774.6350000000002</v>
      </c>
      <c r="AR135" s="2">
        <v>-1</v>
      </c>
      <c r="AS135" s="2">
        <v>-1</v>
      </c>
      <c r="AT135" s="2">
        <v>-1</v>
      </c>
      <c r="AU135" s="3">
        <v>102.91965709939214</v>
      </c>
      <c r="AV135" s="38">
        <v>1.8333333333333333</v>
      </c>
      <c r="AW135" s="16">
        <v>5245.92</v>
      </c>
      <c r="AX135" s="15">
        <v>5369.6105000000007</v>
      </c>
    </row>
    <row r="136" spans="2:50" x14ac:dyDescent="0.25">
      <c r="B136" s="41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6"/>
      <c r="Y136" s="26"/>
      <c r="Z136" s="26"/>
      <c r="AA136" s="26"/>
      <c r="AB136" s="25"/>
      <c r="AC136" s="27"/>
      <c r="AD136" s="25"/>
      <c r="AE136" s="25"/>
      <c r="AF136" s="36" t="s">
        <v>19</v>
      </c>
      <c r="AG136" s="15">
        <v>5774.6350000000002</v>
      </c>
      <c r="AH136" s="2">
        <v>-1</v>
      </c>
      <c r="AI136" s="2">
        <v>-1</v>
      </c>
      <c r="AJ136" s="53">
        <v>-1</v>
      </c>
      <c r="AK136" s="38">
        <v>102.91965709939214</v>
      </c>
      <c r="AL136" s="38">
        <v>1.8333333333333333</v>
      </c>
      <c r="AM136" s="52">
        <v>5245.92</v>
      </c>
      <c r="AN136" s="15">
        <v>5369.6105000000007</v>
      </c>
    </row>
    <row r="137" spans="2:50" x14ac:dyDescent="0.25">
      <c r="B137" s="41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6"/>
      <c r="Y137" s="26"/>
      <c r="Z137" s="26"/>
      <c r="AA137" s="26"/>
      <c r="AB137" s="25"/>
      <c r="AC137" s="27"/>
      <c r="AD137" s="25"/>
      <c r="AE137" s="25"/>
      <c r="AF137" s="41"/>
      <c r="AG137" s="25"/>
      <c r="AH137" s="46"/>
      <c r="AI137" s="46"/>
      <c r="AJ137" s="46"/>
      <c r="AK137" s="26"/>
      <c r="AL137" s="26"/>
      <c r="AM137" s="27"/>
    </row>
    <row r="138" spans="2:50" s="4" customFormat="1" x14ac:dyDescent="0.25">
      <c r="B138" s="9" t="s">
        <v>2</v>
      </c>
      <c r="AE138" s="45"/>
      <c r="AF138" s="9" t="s">
        <v>2</v>
      </c>
      <c r="AG138" s="9" t="s">
        <v>2</v>
      </c>
    </row>
    <row r="139" spans="2:50" ht="105" x14ac:dyDescent="0.25">
      <c r="B139" s="11" t="s">
        <v>25</v>
      </c>
      <c r="C139" s="20" t="s">
        <v>48</v>
      </c>
      <c r="D139" s="20" t="s">
        <v>49</v>
      </c>
      <c r="E139" s="20" t="s">
        <v>50</v>
      </c>
      <c r="F139" s="20" t="s">
        <v>51</v>
      </c>
      <c r="G139" s="20" t="s">
        <v>52</v>
      </c>
      <c r="H139" s="21"/>
      <c r="I139" s="20" t="s">
        <v>53</v>
      </c>
      <c r="J139" s="12" t="s">
        <v>54</v>
      </c>
      <c r="K139" s="12" t="s">
        <v>55</v>
      </c>
      <c r="L139" s="12" t="s">
        <v>56</v>
      </c>
      <c r="M139" s="20" t="s">
        <v>57</v>
      </c>
      <c r="N139" s="20" t="s">
        <v>58</v>
      </c>
      <c r="O139" s="20" t="s">
        <v>59</v>
      </c>
      <c r="P139" s="35"/>
      <c r="Q139" s="20" t="s">
        <v>60</v>
      </c>
      <c r="R139" s="20" t="s">
        <v>61</v>
      </c>
      <c r="S139" s="20" t="s">
        <v>62</v>
      </c>
      <c r="T139" s="23"/>
      <c r="U139" s="20" t="s">
        <v>63</v>
      </c>
      <c r="V139" s="20" t="s">
        <v>64</v>
      </c>
      <c r="W139" s="22"/>
      <c r="X139" s="20" t="s">
        <v>65</v>
      </c>
      <c r="Y139" s="35"/>
      <c r="Z139" s="35"/>
      <c r="AA139" s="20" t="s">
        <v>66</v>
      </c>
      <c r="AB139" s="20" t="s">
        <v>67</v>
      </c>
      <c r="AC139" s="6" t="s">
        <v>69</v>
      </c>
      <c r="AD139" s="37" t="s">
        <v>68</v>
      </c>
      <c r="AE139" s="34"/>
    </row>
    <row r="140" spans="2:50" x14ac:dyDescent="0.25">
      <c r="B140" s="11" t="s">
        <v>107</v>
      </c>
      <c r="C140" s="20" t="s">
        <v>128</v>
      </c>
      <c r="D140" s="20" t="s">
        <v>122</v>
      </c>
      <c r="E140" s="20" t="s">
        <v>123</v>
      </c>
      <c r="F140" s="20" t="s">
        <v>124</v>
      </c>
      <c r="G140" s="20" t="s">
        <v>125</v>
      </c>
      <c r="H140" s="39" t="s">
        <v>130</v>
      </c>
      <c r="I140" s="20" t="s">
        <v>110</v>
      </c>
      <c r="J140" s="12" t="s">
        <v>108</v>
      </c>
      <c r="K140" s="12" t="s">
        <v>109</v>
      </c>
      <c r="L140" s="12" t="s">
        <v>111</v>
      </c>
      <c r="M140" s="39" t="s">
        <v>112</v>
      </c>
      <c r="N140" s="20" t="s">
        <v>113</v>
      </c>
      <c r="O140" s="20" t="s">
        <v>114</v>
      </c>
      <c r="P140" s="39" t="s">
        <v>135</v>
      </c>
      <c r="Q140" s="20" t="s">
        <v>115</v>
      </c>
      <c r="R140" s="20" t="s">
        <v>116</v>
      </c>
      <c r="S140" s="20" t="s">
        <v>117</v>
      </c>
      <c r="T140" s="39" t="s">
        <v>136</v>
      </c>
      <c r="U140" s="20" t="s">
        <v>118</v>
      </c>
      <c r="V140" s="20" t="s">
        <v>119</v>
      </c>
      <c r="W140" s="39" t="s">
        <v>131</v>
      </c>
      <c r="X140" s="20" t="s">
        <v>120</v>
      </c>
      <c r="Y140" s="35" t="s">
        <v>133</v>
      </c>
      <c r="Z140" s="39" t="s">
        <v>134</v>
      </c>
      <c r="AA140" s="39" t="s">
        <v>121</v>
      </c>
      <c r="AB140" s="39" t="s">
        <v>129</v>
      </c>
      <c r="AC140" s="48" t="s">
        <v>127</v>
      </c>
      <c r="AD140" s="37" t="s">
        <v>126</v>
      </c>
      <c r="AE140" s="34"/>
      <c r="AF140" s="47" t="s">
        <v>107</v>
      </c>
      <c r="AG140" s="31" t="s">
        <v>146</v>
      </c>
      <c r="AH140" s="36" t="s">
        <v>140</v>
      </c>
      <c r="AI140" s="36" t="s">
        <v>141</v>
      </c>
      <c r="AJ140" s="36" t="s">
        <v>142</v>
      </c>
      <c r="AK140" s="35" t="s">
        <v>143</v>
      </c>
      <c r="AL140" s="35" t="s">
        <v>144</v>
      </c>
      <c r="AM140" s="6" t="s">
        <v>145</v>
      </c>
      <c r="AN140" s="31" t="s">
        <v>137</v>
      </c>
      <c r="AP140" s="47" t="s">
        <v>107</v>
      </c>
      <c r="AQ140" s="31" t="s">
        <v>146</v>
      </c>
      <c r="AR140" s="36" t="s">
        <v>140</v>
      </c>
      <c r="AS140" s="36" t="s">
        <v>141</v>
      </c>
      <c r="AT140" s="36" t="s">
        <v>142</v>
      </c>
      <c r="AU140" s="35" t="s">
        <v>143</v>
      </c>
      <c r="AV140" s="35" t="s">
        <v>144</v>
      </c>
      <c r="AW140" s="6" t="s">
        <v>145</v>
      </c>
      <c r="AX140" s="31" t="s">
        <v>137</v>
      </c>
    </row>
    <row r="141" spans="2:50" x14ac:dyDescent="0.25">
      <c r="B141" s="7" t="s">
        <v>4</v>
      </c>
      <c r="C141" s="3">
        <v>6329</v>
      </c>
      <c r="D141" s="3">
        <v>5950</v>
      </c>
      <c r="E141" s="3">
        <v>6499</v>
      </c>
      <c r="F141" s="15">
        <v>6197</v>
      </c>
      <c r="G141" s="15">
        <v>5860.6784241152336</v>
      </c>
      <c r="H141" s="15">
        <f xml:space="preserve"> AVERAGE(F141,G141)</f>
        <v>6028.8392120576173</v>
      </c>
      <c r="I141" s="3">
        <v>6374</v>
      </c>
      <c r="J141" s="3">
        <v>6222</v>
      </c>
      <c r="K141" s="3">
        <v>6278</v>
      </c>
      <c r="L141" s="3">
        <v>6779</v>
      </c>
      <c r="M141" s="19">
        <v>6482.78</v>
      </c>
      <c r="N141" s="19">
        <v>6151.18</v>
      </c>
      <c r="O141" s="19">
        <v>6141.75</v>
      </c>
      <c r="P141" s="15">
        <f>AVERAGE(N141,O141)</f>
        <v>6146.4650000000001</v>
      </c>
      <c r="Q141" s="19">
        <v>6216.75</v>
      </c>
      <c r="R141" s="19">
        <v>6028.07</v>
      </c>
      <c r="S141" s="19">
        <v>6438.27</v>
      </c>
      <c r="T141" s="15">
        <f>AVERAGE(Q141,R141,S141)</f>
        <v>6227.6966666666667</v>
      </c>
      <c r="U141" s="19">
        <v>6422.5</v>
      </c>
      <c r="V141" s="19">
        <v>7011.05</v>
      </c>
      <c r="W141" s="15">
        <f>AVERAGE(U141,V141)</f>
        <v>6716.7749999999996</v>
      </c>
      <c r="X141" s="3">
        <v>99.5</v>
      </c>
      <c r="Y141" s="38">
        <f>X141/100</f>
        <v>0.995</v>
      </c>
      <c r="Z141" s="3">
        <v>100</v>
      </c>
      <c r="AA141" s="3">
        <v>5.2</v>
      </c>
      <c r="AB141" s="16">
        <v>1732</v>
      </c>
      <c r="AC141" s="16">
        <v>4103.62</v>
      </c>
      <c r="AD141" s="44"/>
      <c r="AE141" s="25"/>
      <c r="AF141" s="36" t="s">
        <v>4</v>
      </c>
      <c r="AG141" s="15">
        <v>6482.78</v>
      </c>
      <c r="AH141" s="2">
        <v>1</v>
      </c>
      <c r="AI141" s="2">
        <v>0</v>
      </c>
      <c r="AJ141" s="2">
        <v>0</v>
      </c>
      <c r="AK141" s="38">
        <v>100</v>
      </c>
      <c r="AL141" s="38">
        <v>5.2</v>
      </c>
      <c r="AM141" s="52">
        <v>4103.62</v>
      </c>
      <c r="AP141" s="36" t="s">
        <v>5</v>
      </c>
      <c r="AQ141" s="15">
        <v>6394</v>
      </c>
      <c r="AR141" s="2">
        <v>1</v>
      </c>
      <c r="AS141" s="2">
        <v>0</v>
      </c>
      <c r="AT141" s="2">
        <v>0</v>
      </c>
      <c r="AU141" s="38">
        <v>100.70000000000002</v>
      </c>
      <c r="AV141" s="38">
        <v>4.8999999999999995</v>
      </c>
      <c r="AW141" s="16">
        <v>3874.54</v>
      </c>
      <c r="AX141" s="15">
        <v>6482.78</v>
      </c>
    </row>
    <row r="142" spans="2:50" x14ac:dyDescent="0.25">
      <c r="B142" s="7" t="s">
        <v>5</v>
      </c>
      <c r="C142" s="3">
        <v>6359</v>
      </c>
      <c r="D142" s="3">
        <v>6019</v>
      </c>
      <c r="E142" s="3">
        <v>6540</v>
      </c>
      <c r="F142" s="15">
        <v>6157.1921154143483</v>
      </c>
      <c r="G142" s="15">
        <v>5896</v>
      </c>
      <c r="H142" s="15">
        <f t="shared" ref="H142:H156" si="12" xml:space="preserve"> AVERAGE(F142,G142)</f>
        <v>6026.5960577071746</v>
      </c>
      <c r="I142" s="3">
        <v>6396</v>
      </c>
      <c r="J142" s="3">
        <v>6243</v>
      </c>
      <c r="K142" s="3">
        <v>6224</v>
      </c>
      <c r="L142" s="3">
        <v>6852</v>
      </c>
      <c r="M142" s="15">
        <v>6394</v>
      </c>
      <c r="N142" s="15">
        <v>5992</v>
      </c>
      <c r="O142" s="15">
        <v>6098</v>
      </c>
      <c r="P142" s="15">
        <f t="shared" ref="P142:P156" si="13">AVERAGE(N142,O142)</f>
        <v>6045</v>
      </c>
      <c r="Q142" s="15">
        <v>6246</v>
      </c>
      <c r="R142" s="15">
        <v>6045</v>
      </c>
      <c r="S142" s="15">
        <v>6561</v>
      </c>
      <c r="T142" s="15">
        <f t="shared" ref="T142:T156" si="14">AVERAGE(Q142,R142,S142)</f>
        <v>6284</v>
      </c>
      <c r="U142" s="15">
        <v>6505</v>
      </c>
      <c r="V142" s="15">
        <v>7519</v>
      </c>
      <c r="W142" s="15">
        <f t="shared" ref="W142:W156" si="15">AVERAGE(U142,V142)</f>
        <v>7012</v>
      </c>
      <c r="X142" s="3">
        <v>100.7</v>
      </c>
      <c r="Y142" s="38">
        <f t="shared" ref="Y142:Y156" si="16">X142/100</f>
        <v>1.0070000000000001</v>
      </c>
      <c r="Z142" s="38">
        <f>Y142*Z141</f>
        <v>100.70000000000002</v>
      </c>
      <c r="AA142" s="3">
        <v>4.8999999999999995</v>
      </c>
      <c r="AB142" s="16">
        <v>1524</v>
      </c>
      <c r="AC142" s="16">
        <v>3874.54</v>
      </c>
      <c r="AD142" s="44">
        <v>-197</v>
      </c>
      <c r="AE142" s="25"/>
      <c r="AF142" s="36" t="s">
        <v>5</v>
      </c>
      <c r="AG142" s="15">
        <v>6394</v>
      </c>
      <c r="AH142" s="2">
        <v>1</v>
      </c>
      <c r="AI142" s="2">
        <v>0</v>
      </c>
      <c r="AJ142" s="2">
        <v>0</v>
      </c>
      <c r="AK142" s="38">
        <v>100.70000000000002</v>
      </c>
      <c r="AL142" s="38">
        <v>4.8999999999999995</v>
      </c>
      <c r="AM142" s="52">
        <v>3874.54</v>
      </c>
      <c r="AN142" s="15">
        <v>6482.78</v>
      </c>
      <c r="AP142" s="36" t="s">
        <v>6</v>
      </c>
      <c r="AQ142" s="15">
        <v>6485.21</v>
      </c>
      <c r="AR142" s="2">
        <v>1</v>
      </c>
      <c r="AS142" s="2">
        <v>0</v>
      </c>
      <c r="AT142" s="2">
        <v>0</v>
      </c>
      <c r="AU142" s="38">
        <v>100.39790000000002</v>
      </c>
      <c r="AV142" s="38">
        <v>4.6333333333333337</v>
      </c>
      <c r="AW142" s="16">
        <v>3938.3</v>
      </c>
      <c r="AX142" s="15">
        <v>6394</v>
      </c>
    </row>
    <row r="143" spans="2:50" x14ac:dyDescent="0.25">
      <c r="B143" s="7" t="s">
        <v>6</v>
      </c>
      <c r="C143" s="3">
        <v>6572</v>
      </c>
      <c r="D143" s="3">
        <v>5959</v>
      </c>
      <c r="E143" s="3">
        <v>6921</v>
      </c>
      <c r="F143" s="15">
        <v>6095.1575246132206</v>
      </c>
      <c r="G143" s="15">
        <v>6311.5021679951542</v>
      </c>
      <c r="H143" s="15">
        <f t="shared" si="12"/>
        <v>6203.3298463041874</v>
      </c>
      <c r="I143" s="3">
        <v>6402</v>
      </c>
      <c r="J143" s="3">
        <v>6441</v>
      </c>
      <c r="K143" s="3">
        <v>6449</v>
      </c>
      <c r="L143" s="3">
        <v>7561</v>
      </c>
      <c r="M143" s="15">
        <v>6485.21</v>
      </c>
      <c r="N143" s="15">
        <v>6019.48</v>
      </c>
      <c r="O143" s="15">
        <v>6126.08</v>
      </c>
      <c r="P143" s="15">
        <f t="shared" si="13"/>
        <v>6072.78</v>
      </c>
      <c r="Q143" s="15">
        <v>6301.42</v>
      </c>
      <c r="R143" s="15">
        <v>6159.37</v>
      </c>
      <c r="S143" s="15">
        <v>6225.15</v>
      </c>
      <c r="T143" s="15">
        <f t="shared" si="14"/>
        <v>6228.6466666666674</v>
      </c>
      <c r="U143" s="15">
        <v>6602.91</v>
      </c>
      <c r="V143" s="15">
        <v>6983.36</v>
      </c>
      <c r="W143" s="15">
        <f t="shared" si="15"/>
        <v>6793.1350000000002</v>
      </c>
      <c r="X143" s="3">
        <v>99.7</v>
      </c>
      <c r="Y143" s="38">
        <f t="shared" si="16"/>
        <v>0.997</v>
      </c>
      <c r="Z143" s="38">
        <f t="shared" ref="Z143:Z156" si="17">Y143*Z142</f>
        <v>100.39790000000002</v>
      </c>
      <c r="AA143" s="3">
        <v>4.6333333333333337</v>
      </c>
      <c r="AB143" s="16">
        <v>919</v>
      </c>
      <c r="AC143" s="16">
        <v>3938.3</v>
      </c>
      <c r="AD143" s="44"/>
      <c r="AE143" s="25"/>
      <c r="AF143" s="36" t="s">
        <v>6</v>
      </c>
      <c r="AG143" s="15">
        <v>6485.21</v>
      </c>
      <c r="AH143" s="2">
        <v>1</v>
      </c>
      <c r="AI143" s="2">
        <v>0</v>
      </c>
      <c r="AJ143" s="2">
        <v>0</v>
      </c>
      <c r="AK143" s="38">
        <v>100.39790000000002</v>
      </c>
      <c r="AL143" s="38">
        <v>4.6333333333333337</v>
      </c>
      <c r="AM143" s="52">
        <v>3938.3</v>
      </c>
      <c r="AN143" s="15">
        <v>6394</v>
      </c>
      <c r="AP143" s="36" t="s">
        <v>7</v>
      </c>
      <c r="AQ143" s="15">
        <v>6555.2979999999998</v>
      </c>
      <c r="AR143" s="2">
        <v>1</v>
      </c>
      <c r="AS143" s="2">
        <v>0</v>
      </c>
      <c r="AT143" s="2">
        <v>0</v>
      </c>
      <c r="AU143" s="38">
        <v>100.09670630000002</v>
      </c>
      <c r="AV143" s="38">
        <v>4.4666666666666668</v>
      </c>
      <c r="AW143" s="16">
        <v>4160.5</v>
      </c>
      <c r="AX143" s="15">
        <v>6485.21</v>
      </c>
    </row>
    <row r="144" spans="2:50" x14ac:dyDescent="0.25">
      <c r="B144" s="7" t="s">
        <v>7</v>
      </c>
      <c r="C144" s="3">
        <v>6697</v>
      </c>
      <c r="D144" s="3">
        <v>6088</v>
      </c>
      <c r="E144" s="3">
        <v>6989</v>
      </c>
      <c r="F144" s="15">
        <v>5938.9033771205213</v>
      </c>
      <c r="G144" s="15">
        <v>6357.2674559547067</v>
      </c>
      <c r="H144" s="15">
        <f t="shared" si="12"/>
        <v>6148.085416537614</v>
      </c>
      <c r="I144" s="3">
        <v>6464</v>
      </c>
      <c r="J144" s="3">
        <v>6420</v>
      </c>
      <c r="K144" s="3">
        <v>6592</v>
      </c>
      <c r="L144" s="3">
        <v>8012</v>
      </c>
      <c r="M144" s="15">
        <v>6555.2979999999998</v>
      </c>
      <c r="N144" s="15">
        <v>6224.2479999999996</v>
      </c>
      <c r="O144" s="15">
        <v>6376.16</v>
      </c>
      <c r="P144" s="15">
        <f t="shared" si="13"/>
        <v>6300.2039999999997</v>
      </c>
      <c r="Q144" s="15">
        <v>6485.3729999999996</v>
      </c>
      <c r="R144" s="15">
        <v>6325.74</v>
      </c>
      <c r="S144" s="15">
        <v>6326.009</v>
      </c>
      <c r="T144" s="15">
        <f t="shared" si="14"/>
        <v>6379.0406666666668</v>
      </c>
      <c r="U144" s="15">
        <v>6830.3310000000001</v>
      </c>
      <c r="V144" s="15">
        <v>7130.9930000000004</v>
      </c>
      <c r="W144" s="15">
        <f t="shared" si="15"/>
        <v>6980.6620000000003</v>
      </c>
      <c r="X144" s="3">
        <v>99.7</v>
      </c>
      <c r="Y144" s="38">
        <f t="shared" si="16"/>
        <v>0.997</v>
      </c>
      <c r="Z144" s="38">
        <f t="shared" si="17"/>
        <v>100.09670630000002</v>
      </c>
      <c r="AA144" s="3">
        <v>4.4666666666666668</v>
      </c>
      <c r="AB144" s="16">
        <v>2280</v>
      </c>
      <c r="AC144" s="16">
        <v>4160.5</v>
      </c>
      <c r="AD144" s="44">
        <v>415</v>
      </c>
      <c r="AE144" s="25"/>
      <c r="AF144" s="36" t="s">
        <v>7</v>
      </c>
      <c r="AG144" s="15">
        <v>6555.2979999999998</v>
      </c>
      <c r="AH144" s="2">
        <v>1</v>
      </c>
      <c r="AI144" s="2">
        <v>0</v>
      </c>
      <c r="AJ144" s="2">
        <v>0</v>
      </c>
      <c r="AK144" s="38">
        <v>100.09670630000002</v>
      </c>
      <c r="AL144" s="38">
        <v>4.4666666666666668</v>
      </c>
      <c r="AM144" s="52">
        <v>4160.5</v>
      </c>
      <c r="AN144" s="15">
        <v>6485.21</v>
      </c>
      <c r="AP144" s="36" t="s">
        <v>8</v>
      </c>
      <c r="AQ144" s="15">
        <v>6697.57</v>
      </c>
      <c r="AR144" s="2">
        <v>1</v>
      </c>
      <c r="AS144" s="2">
        <v>0</v>
      </c>
      <c r="AT144" s="2">
        <v>0</v>
      </c>
      <c r="AU144" s="38">
        <v>99.596222768500027</v>
      </c>
      <c r="AV144" s="38">
        <v>4.4666666666666668</v>
      </c>
      <c r="AW144" s="16">
        <v>4272.7700000000004</v>
      </c>
      <c r="AX144" s="15">
        <v>6555.2979999999998</v>
      </c>
    </row>
    <row r="145" spans="2:50" x14ac:dyDescent="0.25">
      <c r="B145" s="7" t="s">
        <v>8</v>
      </c>
      <c r="C145" s="3">
        <v>6340</v>
      </c>
      <c r="D145" s="3">
        <v>5914</v>
      </c>
      <c r="E145" s="3">
        <v>6509</v>
      </c>
      <c r="F145" s="15">
        <v>5884.1205694484188</v>
      </c>
      <c r="G145" s="15">
        <v>6239</v>
      </c>
      <c r="H145" s="15">
        <f t="shared" si="12"/>
        <v>6061.5602847242099</v>
      </c>
      <c r="I145" s="3">
        <v>6556</v>
      </c>
      <c r="J145" s="3">
        <v>6241</v>
      </c>
      <c r="K145" s="3">
        <v>6321</v>
      </c>
      <c r="L145" s="3">
        <v>6436</v>
      </c>
      <c r="M145" s="15">
        <v>6697.57</v>
      </c>
      <c r="N145" s="15">
        <v>6262.55</v>
      </c>
      <c r="O145" s="15">
        <v>6393.88</v>
      </c>
      <c r="P145" s="15">
        <f t="shared" si="13"/>
        <v>6328.2150000000001</v>
      </c>
      <c r="Q145" s="15">
        <v>6366.39</v>
      </c>
      <c r="R145" s="15">
        <v>6302.42</v>
      </c>
      <c r="S145" s="15">
        <v>6306.66</v>
      </c>
      <c r="T145" s="15">
        <f t="shared" si="14"/>
        <v>6325.1566666666668</v>
      </c>
      <c r="U145" s="15">
        <v>6730.99</v>
      </c>
      <c r="V145" s="15">
        <v>6980.21</v>
      </c>
      <c r="W145" s="15">
        <f t="shared" si="15"/>
        <v>6855.6</v>
      </c>
      <c r="X145" s="3">
        <v>99.5</v>
      </c>
      <c r="Y145" s="38">
        <f t="shared" si="16"/>
        <v>0.995</v>
      </c>
      <c r="Z145" s="38">
        <f t="shared" si="17"/>
        <v>99.596222768500027</v>
      </c>
      <c r="AA145" s="3">
        <v>4.4666666666666668</v>
      </c>
      <c r="AB145" s="16">
        <v>2161</v>
      </c>
      <c r="AC145" s="16">
        <v>4272.7700000000004</v>
      </c>
      <c r="AD145" s="44"/>
      <c r="AE145" s="25"/>
      <c r="AF145" s="36" t="s">
        <v>8</v>
      </c>
      <c r="AG145" s="15">
        <v>6697.57</v>
      </c>
      <c r="AH145" s="2">
        <v>1</v>
      </c>
      <c r="AI145" s="2">
        <v>0</v>
      </c>
      <c r="AJ145" s="2">
        <v>0</v>
      </c>
      <c r="AK145" s="38">
        <v>99.596222768500027</v>
      </c>
      <c r="AL145" s="38">
        <v>4.4666666666666668</v>
      </c>
      <c r="AM145" s="52">
        <v>4272.7700000000004</v>
      </c>
      <c r="AN145" s="15">
        <v>6555.2979999999998</v>
      </c>
      <c r="AP145" s="36" t="s">
        <v>9</v>
      </c>
      <c r="AQ145" s="15">
        <v>6804.41</v>
      </c>
      <c r="AR145" s="2">
        <v>1</v>
      </c>
      <c r="AS145" s="2">
        <v>0</v>
      </c>
      <c r="AT145" s="2">
        <v>0</v>
      </c>
      <c r="AU145" s="38">
        <v>100.09420388234251</v>
      </c>
      <c r="AV145" s="38">
        <v>4.2333333333333334</v>
      </c>
      <c r="AW145" s="16">
        <v>4083.58</v>
      </c>
      <c r="AX145" s="15">
        <v>6697.57</v>
      </c>
    </row>
    <row r="146" spans="2:50" x14ac:dyDescent="0.25">
      <c r="B146" s="7" t="s">
        <v>9</v>
      </c>
      <c r="C146" s="3">
        <v>6355</v>
      </c>
      <c r="D146" s="3">
        <v>6119</v>
      </c>
      <c r="E146" s="3">
        <v>6472</v>
      </c>
      <c r="F146" s="15">
        <v>5740.2538377049968</v>
      </c>
      <c r="G146" s="15">
        <v>6342.9417351858528</v>
      </c>
      <c r="H146" s="15">
        <f t="shared" si="12"/>
        <v>6041.5977864454253</v>
      </c>
      <c r="I146" s="3">
        <v>6483</v>
      </c>
      <c r="J146" s="3">
        <v>6215</v>
      </c>
      <c r="K146" s="3">
        <v>6233</v>
      </c>
      <c r="L146" s="3">
        <v>6771</v>
      </c>
      <c r="M146" s="15">
        <v>6804.41</v>
      </c>
      <c r="N146" s="15">
        <v>6420.54</v>
      </c>
      <c r="O146" s="15">
        <v>6567.45</v>
      </c>
      <c r="P146" s="15">
        <f t="shared" si="13"/>
        <v>6493.9949999999999</v>
      </c>
      <c r="Q146" s="15">
        <v>6169.83</v>
      </c>
      <c r="R146" s="15">
        <v>6414.01</v>
      </c>
      <c r="S146" s="15">
        <v>6143.37</v>
      </c>
      <c r="T146" s="15">
        <f t="shared" si="14"/>
        <v>6242.4033333333327</v>
      </c>
      <c r="U146" s="15">
        <v>6890.58</v>
      </c>
      <c r="V146" s="15">
        <v>6712.76</v>
      </c>
      <c r="W146" s="15">
        <f t="shared" si="15"/>
        <v>6801.67</v>
      </c>
      <c r="X146" s="3">
        <v>100.5</v>
      </c>
      <c r="Y146" s="38">
        <f t="shared" si="16"/>
        <v>1.0049999999999999</v>
      </c>
      <c r="Z146" s="38">
        <f t="shared" si="17"/>
        <v>100.09420388234251</v>
      </c>
      <c r="AA146" s="3">
        <v>4.2333333333333334</v>
      </c>
      <c r="AB146" s="16">
        <v>2270</v>
      </c>
      <c r="AC146" s="16">
        <v>4083.58</v>
      </c>
      <c r="AD146" s="44">
        <v>648</v>
      </c>
      <c r="AE146" s="25"/>
      <c r="AF146" s="36" t="s">
        <v>9</v>
      </c>
      <c r="AG146" s="15">
        <v>6804.41</v>
      </c>
      <c r="AH146" s="2">
        <v>1</v>
      </c>
      <c r="AI146" s="2">
        <v>0</v>
      </c>
      <c r="AJ146" s="2">
        <v>0</v>
      </c>
      <c r="AK146" s="38">
        <v>100.09420388234251</v>
      </c>
      <c r="AL146" s="38">
        <v>4.2333333333333334</v>
      </c>
      <c r="AM146" s="52">
        <v>4083.58</v>
      </c>
      <c r="AN146" s="15">
        <v>6697.57</v>
      </c>
      <c r="AP146" s="36" t="s">
        <v>10</v>
      </c>
      <c r="AQ146" s="15">
        <v>6982.3239999999996</v>
      </c>
      <c r="AR146" s="2">
        <v>1</v>
      </c>
      <c r="AS146" s="2">
        <v>0</v>
      </c>
      <c r="AT146" s="2">
        <v>0</v>
      </c>
      <c r="AU146" s="38">
        <v>99.693827066813142</v>
      </c>
      <c r="AV146" s="38">
        <v>3.8666666666666667</v>
      </c>
      <c r="AW146" s="16">
        <v>4145.74</v>
      </c>
      <c r="AX146" s="15">
        <v>6804.41</v>
      </c>
    </row>
    <row r="147" spans="2:50" x14ac:dyDescent="0.25">
      <c r="B147" s="7" t="s">
        <v>10</v>
      </c>
      <c r="C147" s="3">
        <v>6542</v>
      </c>
      <c r="D147" s="3">
        <v>6104</v>
      </c>
      <c r="E147" s="3">
        <v>6813</v>
      </c>
      <c r="F147" s="15">
        <v>5819.8799124308653</v>
      </c>
      <c r="G147" s="15">
        <v>6298.2073940512582</v>
      </c>
      <c r="H147" s="15">
        <f t="shared" si="12"/>
        <v>6059.0436532410622</v>
      </c>
      <c r="I147" s="3">
        <v>6509</v>
      </c>
      <c r="J147" s="3">
        <v>6308</v>
      </c>
      <c r="K147" s="3">
        <v>6534</v>
      </c>
      <c r="L147" s="3">
        <v>7253</v>
      </c>
      <c r="M147" s="15">
        <v>6982.3239999999996</v>
      </c>
      <c r="N147" s="15">
        <v>6628.6239999999998</v>
      </c>
      <c r="O147" s="15">
        <v>6404.08</v>
      </c>
      <c r="P147" s="15">
        <f t="shared" si="13"/>
        <v>6516.3519999999999</v>
      </c>
      <c r="Q147" s="15">
        <v>6191.4970000000003</v>
      </c>
      <c r="R147" s="15">
        <v>6252.1959999999999</v>
      </c>
      <c r="S147" s="15">
        <v>6286.1090000000004</v>
      </c>
      <c r="T147" s="15">
        <f t="shared" si="14"/>
        <v>6243.2673333333332</v>
      </c>
      <c r="U147" s="15">
        <v>6769.8469999999998</v>
      </c>
      <c r="V147" s="15">
        <v>6502.2219999999998</v>
      </c>
      <c r="W147" s="15">
        <f t="shared" si="15"/>
        <v>6636.0344999999998</v>
      </c>
      <c r="X147" s="3">
        <v>99.6</v>
      </c>
      <c r="Y147" s="38">
        <f t="shared" si="16"/>
        <v>0.996</v>
      </c>
      <c r="Z147" s="38">
        <f t="shared" si="17"/>
        <v>99.693827066813142</v>
      </c>
      <c r="AA147" s="3">
        <v>3.8666666666666667</v>
      </c>
      <c r="AB147" s="16">
        <v>2033</v>
      </c>
      <c r="AC147" s="16">
        <v>4145.74</v>
      </c>
      <c r="AD147" s="44"/>
      <c r="AE147" s="25"/>
      <c r="AF147" s="36" t="s">
        <v>10</v>
      </c>
      <c r="AG147" s="15">
        <v>6982.3239999999996</v>
      </c>
      <c r="AH147" s="2">
        <v>1</v>
      </c>
      <c r="AI147" s="2">
        <v>0</v>
      </c>
      <c r="AJ147" s="2">
        <v>0</v>
      </c>
      <c r="AK147" s="38">
        <v>99.693827066813142</v>
      </c>
      <c r="AL147" s="38">
        <v>3.8666666666666667</v>
      </c>
      <c r="AM147" s="52">
        <v>4145.74</v>
      </c>
      <c r="AN147" s="15">
        <v>6804.41</v>
      </c>
      <c r="AP147" s="36" t="s">
        <v>11</v>
      </c>
      <c r="AQ147" s="15">
        <v>6940.39</v>
      </c>
      <c r="AR147" s="2">
        <v>1</v>
      </c>
      <c r="AS147" s="2">
        <v>0</v>
      </c>
      <c r="AT147" s="2">
        <v>0</v>
      </c>
      <c r="AU147" s="38">
        <v>100.39168385628085</v>
      </c>
      <c r="AV147" s="38">
        <v>3.6333333333333333</v>
      </c>
      <c r="AW147" s="16">
        <v>4212.93</v>
      </c>
      <c r="AX147" s="15">
        <v>6982.3239999999996</v>
      </c>
    </row>
    <row r="148" spans="2:50" x14ac:dyDescent="0.25">
      <c r="B148" s="7" t="s">
        <v>11</v>
      </c>
      <c r="C148" s="3">
        <v>6550</v>
      </c>
      <c r="D148" s="3">
        <v>6031</v>
      </c>
      <c r="E148" s="3">
        <v>6889</v>
      </c>
      <c r="F148" s="15">
        <v>5951.2520035523494</v>
      </c>
      <c r="G148" s="15">
        <v>6451</v>
      </c>
      <c r="H148" s="15">
        <f t="shared" si="12"/>
        <v>6201.1260017761742</v>
      </c>
      <c r="I148" s="3">
        <v>6381</v>
      </c>
      <c r="J148" s="3">
        <v>6097</v>
      </c>
      <c r="K148" s="3">
        <v>6701</v>
      </c>
      <c r="L148" s="3">
        <v>7839</v>
      </c>
      <c r="M148" s="15">
        <v>6940.39</v>
      </c>
      <c r="N148" s="15">
        <v>6582.84</v>
      </c>
      <c r="O148" s="15">
        <v>6454.43</v>
      </c>
      <c r="P148" s="15">
        <f t="shared" si="13"/>
        <v>6518.6350000000002</v>
      </c>
      <c r="Q148" s="15">
        <v>6013.06</v>
      </c>
      <c r="R148" s="15">
        <v>6041.93</v>
      </c>
      <c r="S148" s="15">
        <v>6213.03</v>
      </c>
      <c r="T148" s="15">
        <f t="shared" si="14"/>
        <v>6089.34</v>
      </c>
      <c r="U148" s="15">
        <v>6657.1</v>
      </c>
      <c r="V148" s="15">
        <v>6650.29</v>
      </c>
      <c r="W148" s="15">
        <f t="shared" si="15"/>
        <v>6653.6949999999997</v>
      </c>
      <c r="X148" s="3">
        <v>100.7</v>
      </c>
      <c r="Y148" s="38">
        <f t="shared" si="16"/>
        <v>1.0070000000000001</v>
      </c>
      <c r="Z148" s="38">
        <f t="shared" si="17"/>
        <v>100.39168385628085</v>
      </c>
      <c r="AA148" s="3">
        <v>3.6333333333333333</v>
      </c>
      <c r="AB148" s="16">
        <v>2899</v>
      </c>
      <c r="AC148" s="16">
        <v>4212.93</v>
      </c>
      <c r="AD148" s="44">
        <v>1665</v>
      </c>
      <c r="AE148" s="25"/>
      <c r="AF148" s="36" t="s">
        <v>11</v>
      </c>
      <c r="AG148" s="15">
        <v>6940.39</v>
      </c>
      <c r="AH148" s="2">
        <v>1</v>
      </c>
      <c r="AI148" s="2">
        <v>0</v>
      </c>
      <c r="AJ148" s="2">
        <v>0</v>
      </c>
      <c r="AK148" s="38">
        <v>100.39168385628085</v>
      </c>
      <c r="AL148" s="38">
        <v>3.6333333333333333</v>
      </c>
      <c r="AM148" s="52">
        <v>4212.93</v>
      </c>
      <c r="AN148" s="15">
        <v>6982.3239999999996</v>
      </c>
      <c r="AP148" s="36" t="s">
        <v>12</v>
      </c>
      <c r="AQ148" s="15">
        <v>7185.93</v>
      </c>
      <c r="AR148" s="2">
        <v>1</v>
      </c>
      <c r="AS148" s="2">
        <v>0</v>
      </c>
      <c r="AT148" s="2">
        <v>0</v>
      </c>
      <c r="AU148" s="38">
        <v>101.59638406255623</v>
      </c>
      <c r="AV148" s="38">
        <v>3.4666666666666668</v>
      </c>
      <c r="AW148" s="16">
        <v>4486.54</v>
      </c>
      <c r="AX148" s="15">
        <v>6940.39</v>
      </c>
    </row>
    <row r="149" spans="2:50" x14ac:dyDescent="0.25">
      <c r="B149" s="7" t="s">
        <v>12</v>
      </c>
      <c r="C149" s="3">
        <v>6476</v>
      </c>
      <c r="D149" s="3">
        <v>6220</v>
      </c>
      <c r="E149" s="3">
        <v>6593</v>
      </c>
      <c r="F149" s="15">
        <v>5979.1580484596634</v>
      </c>
      <c r="G149" s="15">
        <v>6372.8244161654948</v>
      </c>
      <c r="H149" s="15">
        <f t="shared" si="12"/>
        <v>6175.9912323125791</v>
      </c>
      <c r="I149" s="3">
        <v>6686</v>
      </c>
      <c r="J149" s="3">
        <v>6301</v>
      </c>
      <c r="K149" s="3">
        <v>6496</v>
      </c>
      <c r="L149" s="3">
        <v>6845</v>
      </c>
      <c r="M149" s="15">
        <v>7185.93</v>
      </c>
      <c r="N149" s="15">
        <v>6383.36</v>
      </c>
      <c r="O149" s="15">
        <v>6271.24</v>
      </c>
      <c r="P149" s="15">
        <f t="shared" si="13"/>
        <v>6327.2999999999993</v>
      </c>
      <c r="Q149" s="15">
        <v>6277.48</v>
      </c>
      <c r="R149" s="15">
        <v>6271.83</v>
      </c>
      <c r="S149" s="15">
        <v>6397.86</v>
      </c>
      <c r="T149" s="15">
        <f t="shared" si="14"/>
        <v>6315.7233333333324</v>
      </c>
      <c r="U149" s="15">
        <v>6404.88</v>
      </c>
      <c r="V149" s="15">
        <v>6757.65</v>
      </c>
      <c r="W149" s="15">
        <f t="shared" si="15"/>
        <v>6581.2649999999994</v>
      </c>
      <c r="X149" s="3">
        <v>101.2</v>
      </c>
      <c r="Y149" s="38">
        <f t="shared" si="16"/>
        <v>1.012</v>
      </c>
      <c r="Z149" s="38">
        <f t="shared" si="17"/>
        <v>101.59638406255623</v>
      </c>
      <c r="AA149" s="3">
        <v>3.4666666666666668</v>
      </c>
      <c r="AB149" s="16">
        <v>2848</v>
      </c>
      <c r="AC149" s="16">
        <v>4486.54</v>
      </c>
      <c r="AD149" s="44">
        <v>2</v>
      </c>
      <c r="AE149" s="25"/>
      <c r="AF149" s="36" t="s">
        <v>12</v>
      </c>
      <c r="AG149" s="15">
        <v>7185.93</v>
      </c>
      <c r="AH149" s="2">
        <v>1</v>
      </c>
      <c r="AI149" s="2">
        <v>0</v>
      </c>
      <c r="AJ149" s="2">
        <v>0</v>
      </c>
      <c r="AK149" s="38">
        <v>101.59638406255623</v>
      </c>
      <c r="AL149" s="38">
        <v>3.4666666666666668</v>
      </c>
      <c r="AM149" s="52">
        <v>4486.54</v>
      </c>
      <c r="AN149" s="15">
        <v>6940.39</v>
      </c>
      <c r="AP149" s="36" t="s">
        <v>13</v>
      </c>
      <c r="AQ149" s="15">
        <v>7336.36</v>
      </c>
      <c r="AR149" s="2">
        <v>1</v>
      </c>
      <c r="AS149" s="2">
        <v>0</v>
      </c>
      <c r="AT149" s="2">
        <v>0</v>
      </c>
      <c r="AU149" s="38">
        <v>101.79957683068133</v>
      </c>
      <c r="AV149" s="38">
        <v>3.1999999999999997</v>
      </c>
      <c r="AW149" s="16">
        <v>4324.72</v>
      </c>
      <c r="AX149" s="15">
        <v>7185.93</v>
      </c>
    </row>
    <row r="150" spans="2:50" x14ac:dyDescent="0.25">
      <c r="B150" s="7" t="s">
        <v>13</v>
      </c>
      <c r="C150" s="3">
        <v>6324</v>
      </c>
      <c r="D150" s="3">
        <v>6213</v>
      </c>
      <c r="E150" s="3">
        <v>6393</v>
      </c>
      <c r="F150" s="15">
        <v>6038.0284749682005</v>
      </c>
      <c r="G150" s="18">
        <v>6583.4912920298148</v>
      </c>
      <c r="H150" s="15">
        <f t="shared" si="12"/>
        <v>6310.7598834990076</v>
      </c>
      <c r="I150" s="3">
        <v>6488</v>
      </c>
      <c r="J150" s="3">
        <v>6209</v>
      </c>
      <c r="K150" s="3">
        <v>6239</v>
      </c>
      <c r="L150" s="3">
        <v>6659</v>
      </c>
      <c r="M150" s="15">
        <v>7336.36</v>
      </c>
      <c r="N150" s="15">
        <v>6015.22</v>
      </c>
      <c r="O150" s="15">
        <v>6221.22</v>
      </c>
      <c r="P150" s="15">
        <f t="shared" si="13"/>
        <v>6118.22</v>
      </c>
      <c r="Q150" s="15">
        <v>6105.1</v>
      </c>
      <c r="R150" s="15">
        <v>5968.23</v>
      </c>
      <c r="S150" s="15">
        <v>6181.15</v>
      </c>
      <c r="T150" s="15">
        <f t="shared" si="14"/>
        <v>6084.8266666666668</v>
      </c>
      <c r="U150" s="15">
        <v>6077.44</v>
      </c>
      <c r="V150" s="15">
        <v>6815.26</v>
      </c>
      <c r="W150" s="15">
        <f t="shared" si="15"/>
        <v>6446.35</v>
      </c>
      <c r="X150" s="3">
        <v>100.2</v>
      </c>
      <c r="Y150" s="38">
        <f t="shared" si="16"/>
        <v>1.002</v>
      </c>
      <c r="Z150" s="38">
        <f t="shared" si="17"/>
        <v>101.79957683068133</v>
      </c>
      <c r="AA150" s="3">
        <v>3.1999999999999997</v>
      </c>
      <c r="AB150" s="16">
        <v>2409</v>
      </c>
      <c r="AC150" s="16">
        <v>4324.72</v>
      </c>
      <c r="AD150" s="44">
        <v>546</v>
      </c>
      <c r="AE150" s="25"/>
      <c r="AF150" s="36" t="s">
        <v>13</v>
      </c>
      <c r="AG150" s="15">
        <v>7336.36</v>
      </c>
      <c r="AH150" s="2">
        <v>1</v>
      </c>
      <c r="AI150" s="2">
        <v>0</v>
      </c>
      <c r="AJ150" s="2">
        <v>0</v>
      </c>
      <c r="AK150" s="38">
        <v>101.79957683068133</v>
      </c>
      <c r="AL150" s="38">
        <v>3.1999999999999997</v>
      </c>
      <c r="AM150" s="52">
        <v>4324.72</v>
      </c>
      <c r="AN150" s="15">
        <v>7185.93</v>
      </c>
      <c r="AP150" s="36" t="s">
        <v>14</v>
      </c>
      <c r="AQ150" s="15">
        <v>7179.27</v>
      </c>
      <c r="AR150" s="2">
        <v>1</v>
      </c>
      <c r="AS150" s="2">
        <v>0</v>
      </c>
      <c r="AT150" s="2">
        <v>0</v>
      </c>
      <c r="AU150" s="38">
        <v>101.69777725385066</v>
      </c>
      <c r="AV150" s="38">
        <v>3</v>
      </c>
      <c r="AW150" s="16">
        <v>4415.87</v>
      </c>
      <c r="AX150" s="15">
        <v>7336.36</v>
      </c>
    </row>
    <row r="151" spans="2:50" x14ac:dyDescent="0.25">
      <c r="B151" s="7" t="s">
        <v>14</v>
      </c>
      <c r="C151" s="3">
        <v>6574</v>
      </c>
      <c r="D151" s="3">
        <v>6492</v>
      </c>
      <c r="E151" s="3">
        <v>6629</v>
      </c>
      <c r="F151" s="15">
        <v>6347.3785572262523</v>
      </c>
      <c r="G151" s="18">
        <v>6810.2475906102336</v>
      </c>
      <c r="H151" s="15">
        <f t="shared" si="12"/>
        <v>6578.8130739182434</v>
      </c>
      <c r="I151" s="3">
        <v>6554</v>
      </c>
      <c r="J151" s="3">
        <v>6366</v>
      </c>
      <c r="K151" s="3">
        <v>6468</v>
      </c>
      <c r="L151" s="3">
        <v>7496</v>
      </c>
      <c r="M151" s="15">
        <v>7179.27</v>
      </c>
      <c r="N151" s="15">
        <v>6308.2</v>
      </c>
      <c r="O151" s="15">
        <v>6177.32</v>
      </c>
      <c r="P151" s="15">
        <f t="shared" si="13"/>
        <v>6242.76</v>
      </c>
      <c r="Q151" s="15">
        <v>5992.85</v>
      </c>
      <c r="R151" s="15">
        <v>5920.64</v>
      </c>
      <c r="S151" s="15">
        <v>6359.67</v>
      </c>
      <c r="T151" s="15">
        <f t="shared" si="14"/>
        <v>6091.0533333333342</v>
      </c>
      <c r="U151" s="15">
        <v>6088.79</v>
      </c>
      <c r="V151" s="15">
        <v>7087.64</v>
      </c>
      <c r="W151" s="15">
        <f t="shared" si="15"/>
        <v>6588.2150000000001</v>
      </c>
      <c r="X151" s="3">
        <v>99.9</v>
      </c>
      <c r="Y151" s="38">
        <f t="shared" si="16"/>
        <v>0.99900000000000011</v>
      </c>
      <c r="Z151" s="38">
        <f t="shared" si="17"/>
        <v>101.69777725385066</v>
      </c>
      <c r="AA151" s="3">
        <v>3</v>
      </c>
      <c r="AB151" s="16">
        <v>2992</v>
      </c>
      <c r="AC151" s="16">
        <v>4415.87</v>
      </c>
      <c r="AD151" s="44"/>
      <c r="AE151" s="25"/>
      <c r="AF151" s="36" t="s">
        <v>14</v>
      </c>
      <c r="AG151" s="15">
        <v>7179.27</v>
      </c>
      <c r="AH151" s="2">
        <v>1</v>
      </c>
      <c r="AI151" s="2">
        <v>0</v>
      </c>
      <c r="AJ151" s="2">
        <v>0</v>
      </c>
      <c r="AK151" s="38">
        <v>101.69777725385066</v>
      </c>
      <c r="AL151" s="38">
        <v>3</v>
      </c>
      <c r="AM151" s="52">
        <v>4415.87</v>
      </c>
      <c r="AN151" s="15">
        <v>7336.36</v>
      </c>
      <c r="AP151" s="36" t="s">
        <v>15</v>
      </c>
      <c r="AQ151" s="15">
        <v>6811.24</v>
      </c>
      <c r="AR151" s="2">
        <v>1</v>
      </c>
      <c r="AS151" s="2">
        <v>0</v>
      </c>
      <c r="AT151" s="2">
        <v>0</v>
      </c>
      <c r="AU151" s="38">
        <v>103.01984835815071</v>
      </c>
      <c r="AV151" s="38">
        <v>2.7666666666666671</v>
      </c>
      <c r="AW151" s="16">
        <v>4590.72</v>
      </c>
      <c r="AX151" s="15">
        <v>7179.27</v>
      </c>
    </row>
    <row r="152" spans="2:50" x14ac:dyDescent="0.25">
      <c r="B152" s="7" t="s">
        <v>15</v>
      </c>
      <c r="C152" s="3">
        <v>7002</v>
      </c>
      <c r="D152" s="3">
        <v>6740</v>
      </c>
      <c r="E152" s="3">
        <v>7491</v>
      </c>
      <c r="F152" s="15">
        <v>6275.7659178813501</v>
      </c>
      <c r="G152" s="15">
        <v>6755.0439462184431</v>
      </c>
      <c r="H152" s="15">
        <f t="shared" si="12"/>
        <v>6515.4049320498962</v>
      </c>
      <c r="I152" s="3">
        <v>7731</v>
      </c>
      <c r="J152" s="3">
        <v>6747</v>
      </c>
      <c r="K152" s="3">
        <v>6772</v>
      </c>
      <c r="L152" s="3">
        <v>7092</v>
      </c>
      <c r="M152" s="19">
        <v>6811.24</v>
      </c>
      <c r="N152" s="19">
        <v>6656.14</v>
      </c>
      <c r="O152" s="19">
        <v>6508.67</v>
      </c>
      <c r="P152" s="15">
        <f t="shared" si="13"/>
        <v>6582.4050000000007</v>
      </c>
      <c r="Q152" s="19">
        <v>6010.91</v>
      </c>
      <c r="R152" s="19">
        <v>6032.42</v>
      </c>
      <c r="S152" s="19">
        <v>6543.15</v>
      </c>
      <c r="T152" s="15">
        <f t="shared" si="14"/>
        <v>6195.4933333333329</v>
      </c>
      <c r="U152" s="19">
        <v>6090.32</v>
      </c>
      <c r="V152" s="19">
        <v>6790</v>
      </c>
      <c r="W152" s="15">
        <f t="shared" si="15"/>
        <v>6440.16</v>
      </c>
      <c r="X152" s="3">
        <v>101.3</v>
      </c>
      <c r="Y152" s="38">
        <f t="shared" si="16"/>
        <v>1.0129999999999999</v>
      </c>
      <c r="Z152" s="38">
        <f t="shared" si="17"/>
        <v>103.01984835815071</v>
      </c>
      <c r="AA152" s="3">
        <v>2.7666666666666671</v>
      </c>
      <c r="AB152" s="16">
        <v>2795</v>
      </c>
      <c r="AC152" s="16">
        <v>4590.72</v>
      </c>
      <c r="AD152" s="44">
        <v>1507</v>
      </c>
      <c r="AE152" s="25"/>
      <c r="AF152" s="36" t="s">
        <v>15</v>
      </c>
      <c r="AG152" s="15">
        <v>6811.24</v>
      </c>
      <c r="AH152" s="2">
        <v>1</v>
      </c>
      <c r="AI152" s="2">
        <v>0</v>
      </c>
      <c r="AJ152" s="2">
        <v>0</v>
      </c>
      <c r="AK152" s="38">
        <v>103.01984835815071</v>
      </c>
      <c r="AL152" s="38">
        <v>2.7666666666666671</v>
      </c>
      <c r="AM152" s="52">
        <v>4590.72</v>
      </c>
      <c r="AN152" s="15">
        <v>7179.27</v>
      </c>
      <c r="AP152" s="36" t="s">
        <v>16</v>
      </c>
      <c r="AQ152" s="15">
        <v>7065.67</v>
      </c>
      <c r="AR152" s="2">
        <v>1</v>
      </c>
      <c r="AS152" s="2">
        <v>0</v>
      </c>
      <c r="AT152" s="2">
        <v>0</v>
      </c>
      <c r="AU152" s="38">
        <v>103.63796744829962</v>
      </c>
      <c r="AV152" s="38">
        <v>2.7000000000000006</v>
      </c>
      <c r="AW152" s="16">
        <v>4796.37</v>
      </c>
      <c r="AX152" s="15">
        <v>6811.24</v>
      </c>
    </row>
    <row r="153" spans="2:50" x14ac:dyDescent="0.25">
      <c r="B153" s="7" t="s">
        <v>16</v>
      </c>
      <c r="C153" s="15"/>
      <c r="D153" s="15"/>
      <c r="E153" s="15"/>
      <c r="F153" s="15">
        <v>6214.9042329128297</v>
      </c>
      <c r="G153" s="15">
        <v>6839.560101590976</v>
      </c>
      <c r="H153" s="15">
        <f t="shared" si="12"/>
        <v>6527.2321672519029</v>
      </c>
      <c r="I153" s="15"/>
      <c r="J153" s="15"/>
      <c r="K153" s="15"/>
      <c r="L153" s="15"/>
      <c r="M153" s="15">
        <v>7065.67</v>
      </c>
      <c r="N153" s="15">
        <v>6589.85</v>
      </c>
      <c r="O153" s="15">
        <v>6606.86</v>
      </c>
      <c r="P153" s="15">
        <f t="shared" si="13"/>
        <v>6598.3549999999996</v>
      </c>
      <c r="Q153" s="15">
        <v>5821.85</v>
      </c>
      <c r="R153" s="15">
        <v>6387.02</v>
      </c>
      <c r="S153" s="15">
        <v>6872.98</v>
      </c>
      <c r="T153" s="15">
        <f t="shared" si="14"/>
        <v>6360.6166666666659</v>
      </c>
      <c r="U153" s="15">
        <v>6017.56</v>
      </c>
      <c r="V153" s="15">
        <v>7142.13</v>
      </c>
      <c r="W153" s="15">
        <f t="shared" si="15"/>
        <v>6579.8450000000003</v>
      </c>
      <c r="X153" s="3">
        <v>100.6</v>
      </c>
      <c r="Y153" s="38">
        <f t="shared" si="16"/>
        <v>1.006</v>
      </c>
      <c r="Z153" s="38">
        <f t="shared" si="17"/>
        <v>103.63796744829962</v>
      </c>
      <c r="AA153" s="3">
        <v>2.7000000000000006</v>
      </c>
      <c r="AB153" s="15"/>
      <c r="AC153" s="16">
        <v>4796.37</v>
      </c>
      <c r="AD153" s="44"/>
      <c r="AE153" s="25"/>
      <c r="AF153" s="36" t="s">
        <v>16</v>
      </c>
      <c r="AG153" s="15">
        <v>7065.67</v>
      </c>
      <c r="AH153" s="2">
        <v>1</v>
      </c>
      <c r="AI153" s="2">
        <v>0</v>
      </c>
      <c r="AJ153" s="2">
        <v>0</v>
      </c>
      <c r="AK153" s="38">
        <v>103.63796744829962</v>
      </c>
      <c r="AL153" s="38">
        <v>2.7000000000000006</v>
      </c>
      <c r="AM153" s="52">
        <v>4796.37</v>
      </c>
      <c r="AN153" s="15">
        <v>6811.24</v>
      </c>
      <c r="AP153" s="36" t="s">
        <v>17</v>
      </c>
      <c r="AQ153" s="15">
        <v>7394.17</v>
      </c>
      <c r="AR153" s="2">
        <v>1</v>
      </c>
      <c r="AS153" s="2">
        <v>0</v>
      </c>
      <c r="AT153" s="2">
        <v>0</v>
      </c>
      <c r="AU153" s="38">
        <v>104.25979525298942</v>
      </c>
      <c r="AV153" s="38">
        <v>2.5666666666666669</v>
      </c>
      <c r="AW153" s="16">
        <v>4638.08</v>
      </c>
      <c r="AX153" s="15">
        <v>7065.67</v>
      </c>
    </row>
    <row r="154" spans="2:50" x14ac:dyDescent="0.25">
      <c r="B154" s="7" t="s">
        <v>17</v>
      </c>
      <c r="C154" s="15"/>
      <c r="D154" s="15"/>
      <c r="E154" s="15"/>
      <c r="F154" s="15">
        <v>6399.5723792181816</v>
      </c>
      <c r="G154" s="15">
        <v>6743.7901784006744</v>
      </c>
      <c r="H154" s="15">
        <f t="shared" si="12"/>
        <v>6571.6812788094285</v>
      </c>
      <c r="I154" s="15"/>
      <c r="J154" s="15"/>
      <c r="K154" s="15"/>
      <c r="L154" s="15"/>
      <c r="M154" s="15">
        <v>7394.17</v>
      </c>
      <c r="N154" s="15">
        <v>6467.07</v>
      </c>
      <c r="O154" s="15">
        <v>6566.07</v>
      </c>
      <c r="P154" s="15">
        <f t="shared" si="13"/>
        <v>6516.57</v>
      </c>
      <c r="Q154" s="15">
        <v>5689</v>
      </c>
      <c r="R154" s="15">
        <v>6175.77</v>
      </c>
      <c r="S154" s="15">
        <v>6833.5</v>
      </c>
      <c r="T154" s="15">
        <f t="shared" si="14"/>
        <v>6232.7566666666671</v>
      </c>
      <c r="U154" s="15">
        <v>6061.73</v>
      </c>
      <c r="V154" s="15">
        <v>7028.01</v>
      </c>
      <c r="W154" s="15">
        <f t="shared" si="15"/>
        <v>6544.87</v>
      </c>
      <c r="X154" s="3">
        <v>100.6</v>
      </c>
      <c r="Y154" s="38">
        <f t="shared" si="16"/>
        <v>1.006</v>
      </c>
      <c r="Z154" s="38">
        <f t="shared" si="17"/>
        <v>104.25979525298942</v>
      </c>
      <c r="AA154" s="3">
        <v>2.5666666666666669</v>
      </c>
      <c r="AB154" s="15"/>
      <c r="AC154" s="16">
        <v>4638.08</v>
      </c>
      <c r="AD154" s="44">
        <v>561</v>
      </c>
      <c r="AE154" s="25"/>
      <c r="AF154" s="36" t="s">
        <v>17</v>
      </c>
      <c r="AG154" s="15">
        <v>7394.17</v>
      </c>
      <c r="AH154" s="2">
        <v>1</v>
      </c>
      <c r="AI154" s="2">
        <v>0</v>
      </c>
      <c r="AJ154" s="2">
        <v>0</v>
      </c>
      <c r="AK154" s="38">
        <v>104.25979525298942</v>
      </c>
      <c r="AL154" s="38">
        <v>2.5666666666666669</v>
      </c>
      <c r="AM154" s="52">
        <v>4638.08</v>
      </c>
      <c r="AN154" s="15">
        <v>7065.67</v>
      </c>
      <c r="AP154" s="36" t="s">
        <v>18</v>
      </c>
      <c r="AQ154" s="15">
        <v>7000.8</v>
      </c>
      <c r="AR154" s="2">
        <v>1</v>
      </c>
      <c r="AS154" s="2">
        <v>0</v>
      </c>
      <c r="AT154" s="2">
        <v>0</v>
      </c>
      <c r="AU154" s="38">
        <v>104.46831484349539</v>
      </c>
      <c r="AV154" s="38">
        <v>2.4666666666666668</v>
      </c>
      <c r="AW154" s="16">
        <v>4707.1099999999997</v>
      </c>
      <c r="AX154" s="15">
        <v>7394.17</v>
      </c>
    </row>
    <row r="155" spans="2:50" x14ac:dyDescent="0.25">
      <c r="B155" s="7" t="s">
        <v>18</v>
      </c>
      <c r="C155" s="15"/>
      <c r="D155" s="15"/>
      <c r="E155" s="15"/>
      <c r="F155" s="15">
        <v>6620.8207799057072</v>
      </c>
      <c r="G155" s="15">
        <v>6915.1335103287583</v>
      </c>
      <c r="H155" s="15">
        <f t="shared" si="12"/>
        <v>6767.9771451172328</v>
      </c>
      <c r="I155" s="15"/>
      <c r="J155" s="15"/>
      <c r="K155" s="15"/>
      <c r="L155" s="15"/>
      <c r="M155" s="15">
        <v>7000.8</v>
      </c>
      <c r="N155" s="15">
        <v>6685.24</v>
      </c>
      <c r="O155" s="15">
        <v>6322.42</v>
      </c>
      <c r="P155" s="15">
        <f t="shared" si="13"/>
        <v>6503.83</v>
      </c>
      <c r="Q155" s="15">
        <v>6026.63</v>
      </c>
      <c r="R155" s="15">
        <v>6037.08</v>
      </c>
      <c r="S155" s="15">
        <v>6867.29</v>
      </c>
      <c r="T155" s="15">
        <f t="shared" si="14"/>
        <v>6310.333333333333</v>
      </c>
      <c r="U155" s="15">
        <v>6474.4</v>
      </c>
      <c r="V155" s="15">
        <v>7410.73</v>
      </c>
      <c r="W155" s="15">
        <f t="shared" si="15"/>
        <v>6942.5649999999996</v>
      </c>
      <c r="X155" s="3">
        <v>100.2</v>
      </c>
      <c r="Y155" s="38">
        <f t="shared" si="16"/>
        <v>1.002</v>
      </c>
      <c r="Z155" s="38">
        <f t="shared" si="17"/>
        <v>104.46831484349539</v>
      </c>
      <c r="AA155" s="3">
        <v>2.4666666666666668</v>
      </c>
      <c r="AB155" s="15"/>
      <c r="AC155" s="16">
        <v>4707.1099999999997</v>
      </c>
      <c r="AD155" s="44"/>
      <c r="AE155" s="25"/>
      <c r="AF155" s="36" t="s">
        <v>18</v>
      </c>
      <c r="AG155" s="15">
        <v>7000.8</v>
      </c>
      <c r="AH155" s="2">
        <v>1</v>
      </c>
      <c r="AI155" s="2">
        <v>0</v>
      </c>
      <c r="AJ155" s="2">
        <v>0</v>
      </c>
      <c r="AK155" s="38">
        <v>104.46831484349539</v>
      </c>
      <c r="AL155" s="38">
        <v>2.4666666666666668</v>
      </c>
      <c r="AM155" s="52">
        <v>4707.1099999999997</v>
      </c>
      <c r="AN155" s="15">
        <v>7394.17</v>
      </c>
      <c r="AP155" s="36" t="s">
        <v>19</v>
      </c>
      <c r="AQ155" s="15">
        <v>7310.16</v>
      </c>
      <c r="AR155" s="2">
        <v>1</v>
      </c>
      <c r="AS155" s="2">
        <v>0</v>
      </c>
      <c r="AT155" s="2">
        <v>0</v>
      </c>
      <c r="AU155" s="38">
        <v>104.99065641771286</v>
      </c>
      <c r="AV155" s="38">
        <v>2.4</v>
      </c>
      <c r="AW155" s="16">
        <v>4901.28</v>
      </c>
      <c r="AX155" s="15">
        <v>7000.8</v>
      </c>
    </row>
    <row r="156" spans="2:50" x14ac:dyDescent="0.25">
      <c r="B156" s="7" t="s">
        <v>19</v>
      </c>
      <c r="C156" s="15"/>
      <c r="D156" s="15"/>
      <c r="E156" s="15"/>
      <c r="F156" s="15">
        <v>6848.6338679777537</v>
      </c>
      <c r="G156" s="15">
        <v>7135.732446251227</v>
      </c>
      <c r="H156" s="15">
        <f t="shared" si="12"/>
        <v>6992.1831571144903</v>
      </c>
      <c r="I156" s="15"/>
      <c r="J156" s="15"/>
      <c r="K156" s="15"/>
      <c r="L156" s="15"/>
      <c r="M156" s="15">
        <v>7310.16</v>
      </c>
      <c r="N156" s="15">
        <v>7018.59</v>
      </c>
      <c r="O156" s="15">
        <v>6520.61</v>
      </c>
      <c r="P156" s="15">
        <f t="shared" si="13"/>
        <v>6769.6</v>
      </c>
      <c r="Q156" s="15">
        <v>6497.87</v>
      </c>
      <c r="R156" s="15">
        <v>6381.47</v>
      </c>
      <c r="S156" s="15">
        <v>6627.69</v>
      </c>
      <c r="T156" s="15">
        <f t="shared" si="14"/>
        <v>6502.3433333333332</v>
      </c>
      <c r="U156" s="15">
        <v>6941.94</v>
      </c>
      <c r="V156" s="15">
        <v>6646.66</v>
      </c>
      <c r="W156" s="15">
        <f t="shared" si="15"/>
        <v>6794.2999999999993</v>
      </c>
      <c r="X156" s="3">
        <v>100.5</v>
      </c>
      <c r="Y156" s="38">
        <f t="shared" si="16"/>
        <v>1.0049999999999999</v>
      </c>
      <c r="Z156" s="38">
        <f t="shared" si="17"/>
        <v>104.99065641771286</v>
      </c>
      <c r="AA156" s="3">
        <v>2.4</v>
      </c>
      <c r="AB156" s="15"/>
      <c r="AC156" s="16">
        <v>4901.28</v>
      </c>
      <c r="AD156" s="44">
        <v>0</v>
      </c>
      <c r="AE156" s="25"/>
      <c r="AF156" s="36" t="s">
        <v>19</v>
      </c>
      <c r="AG156" s="15">
        <v>7310.16</v>
      </c>
      <c r="AH156" s="2">
        <v>1</v>
      </c>
      <c r="AI156" s="2">
        <v>0</v>
      </c>
      <c r="AJ156" s="2">
        <v>0</v>
      </c>
      <c r="AK156" s="38">
        <v>104.99065641771286</v>
      </c>
      <c r="AL156" s="38">
        <v>2.4</v>
      </c>
      <c r="AM156" s="52">
        <v>4901.28</v>
      </c>
      <c r="AN156" s="15">
        <v>7000.8</v>
      </c>
      <c r="AP156" s="36" t="s">
        <v>4</v>
      </c>
      <c r="AQ156" s="15">
        <v>6146.4650000000001</v>
      </c>
      <c r="AR156" s="2">
        <v>0</v>
      </c>
      <c r="AS156" s="30">
        <v>1</v>
      </c>
      <c r="AT156" s="2">
        <v>0</v>
      </c>
      <c r="AU156" s="38">
        <v>100</v>
      </c>
      <c r="AV156" s="38">
        <v>5.2</v>
      </c>
      <c r="AW156" s="16">
        <v>4103.62</v>
      </c>
      <c r="AX156" s="15">
        <v>7310.16</v>
      </c>
    </row>
    <row r="157" spans="2:50" x14ac:dyDescent="0.25">
      <c r="B157" s="24" t="s">
        <v>4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6"/>
      <c r="Y157" s="26"/>
      <c r="Z157" s="26"/>
      <c r="AA157" s="26"/>
      <c r="AB157" s="25"/>
      <c r="AC157" s="27"/>
      <c r="AD157" s="25"/>
      <c r="AE157" s="25"/>
      <c r="AF157" s="36" t="s">
        <v>4</v>
      </c>
      <c r="AG157" s="15">
        <v>6146.4650000000001</v>
      </c>
      <c r="AH157" s="2">
        <v>0</v>
      </c>
      <c r="AI157" s="30">
        <v>1</v>
      </c>
      <c r="AJ157" s="2">
        <v>0</v>
      </c>
      <c r="AK157" s="38">
        <v>100</v>
      </c>
      <c r="AL157" s="38">
        <v>5.2</v>
      </c>
      <c r="AM157" s="52">
        <v>4103.62</v>
      </c>
      <c r="AN157" s="15">
        <v>7310.16</v>
      </c>
      <c r="AP157" s="36" t="s">
        <v>5</v>
      </c>
      <c r="AQ157" s="15">
        <v>6045</v>
      </c>
      <c r="AR157" s="2">
        <v>0</v>
      </c>
      <c r="AS157" s="30">
        <v>1</v>
      </c>
      <c r="AT157" s="2">
        <v>0</v>
      </c>
      <c r="AU157" s="38">
        <v>100.70000000000002</v>
      </c>
      <c r="AV157" s="38">
        <v>4.8999999999999995</v>
      </c>
      <c r="AW157" s="16">
        <v>3874.54</v>
      </c>
      <c r="AX157" s="15">
        <v>6146.4650000000001</v>
      </c>
    </row>
    <row r="158" spans="2:50" x14ac:dyDescent="0.25">
      <c r="B158" s="24" t="s">
        <v>5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6"/>
      <c r="Y158" s="26"/>
      <c r="Z158" s="26"/>
      <c r="AA158" s="26"/>
      <c r="AB158" s="25"/>
      <c r="AC158" s="27"/>
      <c r="AD158" s="25"/>
      <c r="AE158" s="25"/>
      <c r="AF158" s="36" t="s">
        <v>5</v>
      </c>
      <c r="AG158" s="15">
        <v>6045</v>
      </c>
      <c r="AH158" s="2">
        <v>0</v>
      </c>
      <c r="AI158" s="30">
        <v>1</v>
      </c>
      <c r="AJ158" s="2">
        <v>0</v>
      </c>
      <c r="AK158" s="38">
        <v>100.70000000000002</v>
      </c>
      <c r="AL158" s="38">
        <v>4.8999999999999995</v>
      </c>
      <c r="AM158" s="52">
        <v>3874.54</v>
      </c>
      <c r="AN158" s="15">
        <v>6146.4650000000001</v>
      </c>
      <c r="AP158" s="36" t="s">
        <v>6</v>
      </c>
      <c r="AQ158" s="15">
        <v>6072.78</v>
      </c>
      <c r="AR158" s="2">
        <v>0</v>
      </c>
      <c r="AS158" s="30">
        <v>1</v>
      </c>
      <c r="AT158" s="2">
        <v>0</v>
      </c>
      <c r="AU158" s="38">
        <v>100.39790000000002</v>
      </c>
      <c r="AV158" s="38">
        <v>4.6333333333333337</v>
      </c>
      <c r="AW158" s="16">
        <v>3938.3</v>
      </c>
      <c r="AX158" s="15">
        <v>6045</v>
      </c>
    </row>
    <row r="159" spans="2:50" x14ac:dyDescent="0.25">
      <c r="B159" s="24" t="s">
        <v>6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6"/>
      <c r="Y159" s="26"/>
      <c r="Z159" s="26"/>
      <c r="AA159" s="26"/>
      <c r="AB159" s="25"/>
      <c r="AC159" s="27"/>
      <c r="AD159" s="25"/>
      <c r="AE159" s="25"/>
      <c r="AF159" s="36" t="s">
        <v>6</v>
      </c>
      <c r="AG159" s="15">
        <v>6072.78</v>
      </c>
      <c r="AH159" s="2">
        <v>0</v>
      </c>
      <c r="AI159" s="30">
        <v>1</v>
      </c>
      <c r="AJ159" s="2">
        <v>0</v>
      </c>
      <c r="AK159" s="38">
        <v>100.39790000000002</v>
      </c>
      <c r="AL159" s="38">
        <v>4.6333333333333337</v>
      </c>
      <c r="AM159" s="52">
        <v>3938.3</v>
      </c>
      <c r="AN159" s="15">
        <v>6045</v>
      </c>
      <c r="AP159" s="36" t="s">
        <v>7</v>
      </c>
      <c r="AQ159" s="15">
        <v>6300.2039999999997</v>
      </c>
      <c r="AR159" s="2">
        <v>0</v>
      </c>
      <c r="AS159" s="30">
        <v>1</v>
      </c>
      <c r="AT159" s="2">
        <v>0</v>
      </c>
      <c r="AU159" s="38">
        <v>100.09670630000002</v>
      </c>
      <c r="AV159" s="38">
        <v>4.4666666666666668</v>
      </c>
      <c r="AW159" s="16">
        <v>4160.5</v>
      </c>
      <c r="AX159" s="15">
        <v>6072.78</v>
      </c>
    </row>
    <row r="160" spans="2:50" x14ac:dyDescent="0.25">
      <c r="B160" s="24" t="s">
        <v>7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6"/>
      <c r="Y160" s="26"/>
      <c r="Z160" s="26"/>
      <c r="AA160" s="26"/>
      <c r="AB160" s="25"/>
      <c r="AC160" s="27"/>
      <c r="AD160" s="25"/>
      <c r="AE160" s="25"/>
      <c r="AF160" s="36" t="s">
        <v>7</v>
      </c>
      <c r="AG160" s="15">
        <v>6300.2039999999997</v>
      </c>
      <c r="AH160" s="2">
        <v>0</v>
      </c>
      <c r="AI160" s="30">
        <v>1</v>
      </c>
      <c r="AJ160" s="2">
        <v>0</v>
      </c>
      <c r="AK160" s="38">
        <v>100.09670630000002</v>
      </c>
      <c r="AL160" s="38">
        <v>4.4666666666666668</v>
      </c>
      <c r="AM160" s="52">
        <v>4160.5</v>
      </c>
      <c r="AN160" s="15">
        <v>6072.78</v>
      </c>
      <c r="AP160" s="36" t="s">
        <v>8</v>
      </c>
      <c r="AQ160" s="15">
        <v>6328.2150000000001</v>
      </c>
      <c r="AR160" s="2">
        <v>0</v>
      </c>
      <c r="AS160" s="30">
        <v>1</v>
      </c>
      <c r="AT160" s="2">
        <v>0</v>
      </c>
      <c r="AU160" s="38">
        <v>99.596222768500027</v>
      </c>
      <c r="AV160" s="38">
        <v>4.4666666666666668</v>
      </c>
      <c r="AW160" s="16">
        <v>4272.7700000000004</v>
      </c>
      <c r="AX160" s="15">
        <v>6300.2039999999997</v>
      </c>
    </row>
    <row r="161" spans="2:50" x14ac:dyDescent="0.25">
      <c r="B161" s="24" t="s">
        <v>8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6"/>
      <c r="Y161" s="26"/>
      <c r="Z161" s="26"/>
      <c r="AA161" s="26"/>
      <c r="AB161" s="25"/>
      <c r="AC161" s="27"/>
      <c r="AD161" s="25"/>
      <c r="AE161" s="25"/>
      <c r="AF161" s="36" t="s">
        <v>8</v>
      </c>
      <c r="AG161" s="15">
        <v>6328.2150000000001</v>
      </c>
      <c r="AH161" s="2">
        <v>0</v>
      </c>
      <c r="AI161" s="30">
        <v>1</v>
      </c>
      <c r="AJ161" s="2">
        <v>0</v>
      </c>
      <c r="AK161" s="38">
        <v>99.596222768500027</v>
      </c>
      <c r="AL161" s="38">
        <v>4.4666666666666668</v>
      </c>
      <c r="AM161" s="52">
        <v>4272.7700000000004</v>
      </c>
      <c r="AN161" s="15">
        <v>6300.2039999999997</v>
      </c>
      <c r="AP161" s="36" t="s">
        <v>9</v>
      </c>
      <c r="AQ161" s="15">
        <v>6493.9949999999999</v>
      </c>
      <c r="AR161" s="2">
        <v>0</v>
      </c>
      <c r="AS161" s="30">
        <v>1</v>
      </c>
      <c r="AT161" s="2">
        <v>0</v>
      </c>
      <c r="AU161" s="38">
        <v>100.09420388234251</v>
      </c>
      <c r="AV161" s="38">
        <v>4.2333333333333334</v>
      </c>
      <c r="AW161" s="16">
        <v>4083.58</v>
      </c>
      <c r="AX161" s="15">
        <v>6328.2150000000001</v>
      </c>
    </row>
    <row r="162" spans="2:50" x14ac:dyDescent="0.25">
      <c r="B162" s="24" t="s">
        <v>9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6"/>
      <c r="Y162" s="26"/>
      <c r="Z162" s="26"/>
      <c r="AA162" s="26"/>
      <c r="AB162" s="25"/>
      <c r="AC162" s="27"/>
      <c r="AD162" s="25"/>
      <c r="AE162" s="25"/>
      <c r="AF162" s="36" t="s">
        <v>9</v>
      </c>
      <c r="AG162" s="15">
        <v>6493.9949999999999</v>
      </c>
      <c r="AH162" s="2">
        <v>0</v>
      </c>
      <c r="AI162" s="30">
        <v>1</v>
      </c>
      <c r="AJ162" s="2">
        <v>0</v>
      </c>
      <c r="AK162" s="38">
        <v>100.09420388234251</v>
      </c>
      <c r="AL162" s="38">
        <v>4.2333333333333334</v>
      </c>
      <c r="AM162" s="52">
        <v>4083.58</v>
      </c>
      <c r="AN162" s="15">
        <v>6328.2150000000001</v>
      </c>
      <c r="AP162" s="36" t="s">
        <v>10</v>
      </c>
      <c r="AQ162" s="15">
        <v>6516.3519999999999</v>
      </c>
      <c r="AR162" s="2">
        <v>0</v>
      </c>
      <c r="AS162" s="30">
        <v>1</v>
      </c>
      <c r="AT162" s="2">
        <v>0</v>
      </c>
      <c r="AU162" s="38">
        <v>99.693827066813142</v>
      </c>
      <c r="AV162" s="38">
        <v>3.8666666666666667</v>
      </c>
      <c r="AW162" s="16">
        <v>4145.74</v>
      </c>
      <c r="AX162" s="15">
        <v>6493.9949999999999</v>
      </c>
    </row>
    <row r="163" spans="2:50" x14ac:dyDescent="0.25">
      <c r="B163" s="24" t="s">
        <v>10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6"/>
      <c r="Y163" s="26"/>
      <c r="Z163" s="26"/>
      <c r="AA163" s="26"/>
      <c r="AB163" s="25"/>
      <c r="AC163" s="27"/>
      <c r="AD163" s="25"/>
      <c r="AE163" s="25"/>
      <c r="AF163" s="36" t="s">
        <v>10</v>
      </c>
      <c r="AG163" s="15">
        <v>6516.3519999999999</v>
      </c>
      <c r="AH163" s="2">
        <v>0</v>
      </c>
      <c r="AI163" s="30">
        <v>1</v>
      </c>
      <c r="AJ163" s="2">
        <v>0</v>
      </c>
      <c r="AK163" s="38">
        <v>99.693827066813142</v>
      </c>
      <c r="AL163" s="38">
        <v>3.8666666666666667</v>
      </c>
      <c r="AM163" s="52">
        <v>4145.74</v>
      </c>
      <c r="AN163" s="15">
        <v>6493.9949999999999</v>
      </c>
      <c r="AP163" s="36" t="s">
        <v>11</v>
      </c>
      <c r="AQ163" s="15">
        <v>6518.6350000000002</v>
      </c>
      <c r="AR163" s="2">
        <v>0</v>
      </c>
      <c r="AS163" s="30">
        <v>1</v>
      </c>
      <c r="AT163" s="2">
        <v>0</v>
      </c>
      <c r="AU163" s="38">
        <v>100.39168385628085</v>
      </c>
      <c r="AV163" s="38">
        <v>3.6333333333333333</v>
      </c>
      <c r="AW163" s="16">
        <v>4212.93</v>
      </c>
      <c r="AX163" s="15">
        <v>6516.3519999999999</v>
      </c>
    </row>
    <row r="164" spans="2:50" x14ac:dyDescent="0.25">
      <c r="B164" s="24" t="s">
        <v>11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6"/>
      <c r="Y164" s="26"/>
      <c r="Z164" s="26"/>
      <c r="AA164" s="26"/>
      <c r="AB164" s="25"/>
      <c r="AC164" s="27"/>
      <c r="AD164" s="25"/>
      <c r="AE164" s="25"/>
      <c r="AF164" s="36" t="s">
        <v>11</v>
      </c>
      <c r="AG164" s="15">
        <v>6518.6350000000002</v>
      </c>
      <c r="AH164" s="2">
        <v>0</v>
      </c>
      <c r="AI164" s="30">
        <v>1</v>
      </c>
      <c r="AJ164" s="2">
        <v>0</v>
      </c>
      <c r="AK164" s="38">
        <v>100.39168385628085</v>
      </c>
      <c r="AL164" s="38">
        <v>3.6333333333333333</v>
      </c>
      <c r="AM164" s="52">
        <v>4212.93</v>
      </c>
      <c r="AN164" s="15">
        <v>6516.3519999999999</v>
      </c>
      <c r="AP164" s="36" t="s">
        <v>12</v>
      </c>
      <c r="AQ164" s="15">
        <v>6327.2999999999993</v>
      </c>
      <c r="AR164" s="2">
        <v>0</v>
      </c>
      <c r="AS164" s="30">
        <v>1</v>
      </c>
      <c r="AT164" s="2">
        <v>0</v>
      </c>
      <c r="AU164" s="38">
        <v>101.59638406255623</v>
      </c>
      <c r="AV164" s="38">
        <v>3.4666666666666668</v>
      </c>
      <c r="AW164" s="16">
        <v>4486.54</v>
      </c>
      <c r="AX164" s="15">
        <v>6518.6350000000002</v>
      </c>
    </row>
    <row r="165" spans="2:50" x14ac:dyDescent="0.25">
      <c r="B165" s="24" t="s">
        <v>12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6"/>
      <c r="Y165" s="26"/>
      <c r="Z165" s="26"/>
      <c r="AA165" s="26"/>
      <c r="AB165" s="25"/>
      <c r="AC165" s="27"/>
      <c r="AD165" s="25"/>
      <c r="AE165" s="25"/>
      <c r="AF165" s="36" t="s">
        <v>12</v>
      </c>
      <c r="AG165" s="15">
        <v>6327.2999999999993</v>
      </c>
      <c r="AH165" s="2">
        <v>0</v>
      </c>
      <c r="AI165" s="30">
        <v>1</v>
      </c>
      <c r="AJ165" s="2">
        <v>0</v>
      </c>
      <c r="AK165" s="38">
        <v>101.59638406255623</v>
      </c>
      <c r="AL165" s="38">
        <v>3.4666666666666668</v>
      </c>
      <c r="AM165" s="52">
        <v>4486.54</v>
      </c>
      <c r="AN165" s="15">
        <v>6518.6350000000002</v>
      </c>
      <c r="AP165" s="36" t="s">
        <v>13</v>
      </c>
      <c r="AQ165" s="15">
        <v>6118.22</v>
      </c>
      <c r="AR165" s="2">
        <v>0</v>
      </c>
      <c r="AS165" s="30">
        <v>1</v>
      </c>
      <c r="AT165" s="2">
        <v>0</v>
      </c>
      <c r="AU165" s="38">
        <v>101.79957683068133</v>
      </c>
      <c r="AV165" s="38">
        <v>3.1999999999999997</v>
      </c>
      <c r="AW165" s="16">
        <v>4324.72</v>
      </c>
      <c r="AX165" s="15">
        <v>6327.2999999999993</v>
      </c>
    </row>
    <row r="166" spans="2:50" x14ac:dyDescent="0.25">
      <c r="B166" s="24" t="s">
        <v>13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6"/>
      <c r="Y166" s="26"/>
      <c r="Z166" s="26"/>
      <c r="AA166" s="26"/>
      <c r="AB166" s="25"/>
      <c r="AC166" s="27"/>
      <c r="AD166" s="25"/>
      <c r="AE166" s="25"/>
      <c r="AF166" s="36" t="s">
        <v>13</v>
      </c>
      <c r="AG166" s="15">
        <v>6118.22</v>
      </c>
      <c r="AH166" s="2">
        <v>0</v>
      </c>
      <c r="AI166" s="30">
        <v>1</v>
      </c>
      <c r="AJ166" s="2">
        <v>0</v>
      </c>
      <c r="AK166" s="38">
        <v>101.79957683068133</v>
      </c>
      <c r="AL166" s="38">
        <v>3.1999999999999997</v>
      </c>
      <c r="AM166" s="52">
        <v>4324.72</v>
      </c>
      <c r="AN166" s="15">
        <v>6327.2999999999993</v>
      </c>
      <c r="AP166" s="36" t="s">
        <v>14</v>
      </c>
      <c r="AQ166" s="15">
        <v>6242.76</v>
      </c>
      <c r="AR166" s="2">
        <v>0</v>
      </c>
      <c r="AS166" s="30">
        <v>1</v>
      </c>
      <c r="AT166" s="2">
        <v>0</v>
      </c>
      <c r="AU166" s="38">
        <v>101.69777725385066</v>
      </c>
      <c r="AV166" s="38">
        <v>3</v>
      </c>
      <c r="AW166" s="16">
        <v>4415.87</v>
      </c>
      <c r="AX166" s="15">
        <v>6118.22</v>
      </c>
    </row>
    <row r="167" spans="2:50" x14ac:dyDescent="0.25">
      <c r="B167" s="24" t="s">
        <v>14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6"/>
      <c r="Y167" s="26"/>
      <c r="Z167" s="26"/>
      <c r="AA167" s="26"/>
      <c r="AB167" s="25"/>
      <c r="AC167" s="27"/>
      <c r="AD167" s="25"/>
      <c r="AE167" s="25"/>
      <c r="AF167" s="36" t="s">
        <v>14</v>
      </c>
      <c r="AG167" s="15">
        <v>6242.76</v>
      </c>
      <c r="AH167" s="2">
        <v>0</v>
      </c>
      <c r="AI167" s="30">
        <v>1</v>
      </c>
      <c r="AJ167" s="2">
        <v>0</v>
      </c>
      <c r="AK167" s="38">
        <v>101.69777725385066</v>
      </c>
      <c r="AL167" s="38">
        <v>3</v>
      </c>
      <c r="AM167" s="52">
        <v>4415.87</v>
      </c>
      <c r="AN167" s="15">
        <v>6118.22</v>
      </c>
      <c r="AP167" s="36" t="s">
        <v>15</v>
      </c>
      <c r="AQ167" s="15">
        <v>6582.4050000000007</v>
      </c>
      <c r="AR167" s="2">
        <v>0</v>
      </c>
      <c r="AS167" s="30">
        <v>1</v>
      </c>
      <c r="AT167" s="2">
        <v>0</v>
      </c>
      <c r="AU167" s="38">
        <v>103.01984835815071</v>
      </c>
      <c r="AV167" s="38">
        <v>2.7666666666666671</v>
      </c>
      <c r="AW167" s="16">
        <v>4590.72</v>
      </c>
      <c r="AX167" s="15">
        <v>6242.76</v>
      </c>
    </row>
    <row r="168" spans="2:50" x14ac:dyDescent="0.25">
      <c r="B168" s="24" t="s">
        <v>15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6"/>
      <c r="Y168" s="26"/>
      <c r="Z168" s="26"/>
      <c r="AA168" s="26"/>
      <c r="AB168" s="25"/>
      <c r="AC168" s="27"/>
      <c r="AD168" s="25"/>
      <c r="AE168" s="25"/>
      <c r="AF168" s="36" t="s">
        <v>15</v>
      </c>
      <c r="AG168" s="15">
        <v>6582.4050000000007</v>
      </c>
      <c r="AH168" s="2">
        <v>0</v>
      </c>
      <c r="AI168" s="30">
        <v>1</v>
      </c>
      <c r="AJ168" s="2">
        <v>0</v>
      </c>
      <c r="AK168" s="38">
        <v>103.01984835815071</v>
      </c>
      <c r="AL168" s="38">
        <v>2.7666666666666671</v>
      </c>
      <c r="AM168" s="52">
        <v>4590.72</v>
      </c>
      <c r="AN168" s="15">
        <v>6242.76</v>
      </c>
      <c r="AP168" s="36" t="s">
        <v>16</v>
      </c>
      <c r="AQ168" s="15">
        <v>6598.3549999999996</v>
      </c>
      <c r="AR168" s="2">
        <v>0</v>
      </c>
      <c r="AS168" s="30">
        <v>1</v>
      </c>
      <c r="AT168" s="2">
        <v>0</v>
      </c>
      <c r="AU168" s="38">
        <v>103.63796744829962</v>
      </c>
      <c r="AV168" s="38">
        <v>2.7000000000000006</v>
      </c>
      <c r="AW168" s="16">
        <v>4796.37</v>
      </c>
      <c r="AX168" s="15">
        <v>6582.4050000000007</v>
      </c>
    </row>
    <row r="169" spans="2:50" x14ac:dyDescent="0.25">
      <c r="B169" s="24" t="s">
        <v>16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6"/>
      <c r="Y169" s="26"/>
      <c r="Z169" s="26"/>
      <c r="AA169" s="26"/>
      <c r="AB169" s="25"/>
      <c r="AC169" s="27"/>
      <c r="AD169" s="25"/>
      <c r="AE169" s="25"/>
      <c r="AF169" s="36" t="s">
        <v>16</v>
      </c>
      <c r="AG169" s="15">
        <v>6598.3549999999996</v>
      </c>
      <c r="AH169" s="2">
        <v>0</v>
      </c>
      <c r="AI169" s="30">
        <v>1</v>
      </c>
      <c r="AJ169" s="2">
        <v>0</v>
      </c>
      <c r="AK169" s="38">
        <v>103.63796744829962</v>
      </c>
      <c r="AL169" s="38">
        <v>2.7000000000000006</v>
      </c>
      <c r="AM169" s="52">
        <v>4796.37</v>
      </c>
      <c r="AN169" s="15">
        <v>6582.4050000000007</v>
      </c>
      <c r="AP169" s="36" t="s">
        <v>17</v>
      </c>
      <c r="AQ169" s="15">
        <v>6516.57</v>
      </c>
      <c r="AR169" s="2">
        <v>0</v>
      </c>
      <c r="AS169" s="30">
        <v>1</v>
      </c>
      <c r="AT169" s="2">
        <v>0</v>
      </c>
      <c r="AU169" s="38">
        <v>104.25979525298942</v>
      </c>
      <c r="AV169" s="38">
        <v>2.5666666666666669</v>
      </c>
      <c r="AW169" s="16">
        <v>4638.08</v>
      </c>
      <c r="AX169" s="15">
        <v>6598.3549999999996</v>
      </c>
    </row>
    <row r="170" spans="2:50" x14ac:dyDescent="0.25">
      <c r="B170" s="24" t="s">
        <v>17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6"/>
      <c r="Y170" s="26"/>
      <c r="Z170" s="26"/>
      <c r="AA170" s="26"/>
      <c r="AB170" s="25"/>
      <c r="AC170" s="27"/>
      <c r="AD170" s="25"/>
      <c r="AE170" s="25"/>
      <c r="AF170" s="36" t="s">
        <v>17</v>
      </c>
      <c r="AG170" s="15">
        <v>6516.57</v>
      </c>
      <c r="AH170" s="2">
        <v>0</v>
      </c>
      <c r="AI170" s="30">
        <v>1</v>
      </c>
      <c r="AJ170" s="2">
        <v>0</v>
      </c>
      <c r="AK170" s="38">
        <v>104.25979525298942</v>
      </c>
      <c r="AL170" s="38">
        <v>2.5666666666666669</v>
      </c>
      <c r="AM170" s="52">
        <v>4638.08</v>
      </c>
      <c r="AN170" s="15">
        <v>6598.3549999999996</v>
      </c>
      <c r="AP170" s="36" t="s">
        <v>18</v>
      </c>
      <c r="AQ170" s="15">
        <v>6503.83</v>
      </c>
      <c r="AR170" s="2">
        <v>0</v>
      </c>
      <c r="AS170" s="30">
        <v>1</v>
      </c>
      <c r="AT170" s="2">
        <v>0</v>
      </c>
      <c r="AU170" s="38">
        <v>104.46831484349539</v>
      </c>
      <c r="AV170" s="38">
        <v>2.4666666666666668</v>
      </c>
      <c r="AW170" s="16">
        <v>4707.1099999999997</v>
      </c>
      <c r="AX170" s="15">
        <v>6516.57</v>
      </c>
    </row>
    <row r="171" spans="2:50" x14ac:dyDescent="0.25">
      <c r="B171" s="24" t="s">
        <v>18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6"/>
      <c r="Y171" s="26"/>
      <c r="Z171" s="26"/>
      <c r="AA171" s="26"/>
      <c r="AB171" s="25"/>
      <c r="AC171" s="27"/>
      <c r="AD171" s="25"/>
      <c r="AE171" s="25"/>
      <c r="AF171" s="36" t="s">
        <v>18</v>
      </c>
      <c r="AG171" s="15">
        <v>6503.83</v>
      </c>
      <c r="AH171" s="2">
        <v>0</v>
      </c>
      <c r="AI171" s="30">
        <v>1</v>
      </c>
      <c r="AJ171" s="2">
        <v>0</v>
      </c>
      <c r="AK171" s="38">
        <v>104.46831484349539</v>
      </c>
      <c r="AL171" s="38">
        <v>2.4666666666666668</v>
      </c>
      <c r="AM171" s="52">
        <v>4707.1099999999997</v>
      </c>
      <c r="AN171" s="15">
        <v>6516.57</v>
      </c>
      <c r="AP171" s="36" t="s">
        <v>19</v>
      </c>
      <c r="AQ171" s="15">
        <v>6769.6</v>
      </c>
      <c r="AR171" s="2">
        <v>0</v>
      </c>
      <c r="AS171" s="30">
        <v>1</v>
      </c>
      <c r="AT171" s="2">
        <v>0</v>
      </c>
      <c r="AU171" s="38">
        <v>104.99065641771286</v>
      </c>
      <c r="AV171" s="38">
        <v>2.4</v>
      </c>
      <c r="AW171" s="16">
        <v>4901.28</v>
      </c>
      <c r="AX171" s="15">
        <v>6503.83</v>
      </c>
    </row>
    <row r="172" spans="2:50" x14ac:dyDescent="0.25">
      <c r="B172" s="24" t="s">
        <v>19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6"/>
      <c r="Y172" s="26"/>
      <c r="Z172" s="26"/>
      <c r="AA172" s="26"/>
      <c r="AB172" s="25"/>
      <c r="AC172" s="27"/>
      <c r="AD172" s="25"/>
      <c r="AE172" s="25"/>
      <c r="AF172" s="36" t="s">
        <v>19</v>
      </c>
      <c r="AG172" s="15">
        <v>6769.6</v>
      </c>
      <c r="AH172" s="2">
        <v>0</v>
      </c>
      <c r="AI172" s="30">
        <v>1</v>
      </c>
      <c r="AJ172" s="2">
        <v>0</v>
      </c>
      <c r="AK172" s="38">
        <v>104.99065641771286</v>
      </c>
      <c r="AL172" s="38">
        <v>2.4</v>
      </c>
      <c r="AM172" s="52">
        <v>4901.28</v>
      </c>
      <c r="AN172" s="15">
        <v>6503.83</v>
      </c>
      <c r="AP172" s="36" t="s">
        <v>4</v>
      </c>
      <c r="AQ172" s="15">
        <v>6227.6966666666667</v>
      </c>
      <c r="AR172" s="2">
        <v>0</v>
      </c>
      <c r="AS172" s="30">
        <v>0</v>
      </c>
      <c r="AT172" s="2">
        <v>1</v>
      </c>
      <c r="AU172" s="38">
        <v>100</v>
      </c>
      <c r="AV172" s="38">
        <v>5.2</v>
      </c>
      <c r="AW172" s="16">
        <v>4103.62</v>
      </c>
      <c r="AX172" s="15">
        <v>6769.6</v>
      </c>
    </row>
    <row r="173" spans="2:50" x14ac:dyDescent="0.25">
      <c r="B173" s="24" t="s">
        <v>4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6"/>
      <c r="Y173" s="26"/>
      <c r="Z173" s="26"/>
      <c r="AA173" s="26"/>
      <c r="AB173" s="25"/>
      <c r="AC173" s="27"/>
      <c r="AD173" s="25"/>
      <c r="AE173" s="25"/>
      <c r="AF173" s="36" t="s">
        <v>4</v>
      </c>
      <c r="AG173" s="15">
        <v>6227.6966666666667</v>
      </c>
      <c r="AH173" s="2">
        <v>0</v>
      </c>
      <c r="AI173" s="30">
        <v>0</v>
      </c>
      <c r="AJ173" s="2">
        <v>1</v>
      </c>
      <c r="AK173" s="38">
        <v>100</v>
      </c>
      <c r="AL173" s="38">
        <v>5.2</v>
      </c>
      <c r="AM173" s="52">
        <v>4103.62</v>
      </c>
      <c r="AN173" s="15">
        <v>6769.6</v>
      </c>
      <c r="AP173" s="36" t="s">
        <v>5</v>
      </c>
      <c r="AQ173" s="15">
        <v>6284</v>
      </c>
      <c r="AR173" s="2">
        <v>0</v>
      </c>
      <c r="AS173" s="30">
        <v>0</v>
      </c>
      <c r="AT173" s="2">
        <v>1</v>
      </c>
      <c r="AU173" s="38">
        <v>100.70000000000002</v>
      </c>
      <c r="AV173" s="38">
        <v>4.8999999999999995</v>
      </c>
      <c r="AW173" s="16">
        <v>3874.54</v>
      </c>
      <c r="AX173" s="15">
        <v>6227.6966666666667</v>
      </c>
    </row>
    <row r="174" spans="2:50" x14ac:dyDescent="0.25">
      <c r="B174" s="24" t="s">
        <v>5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6"/>
      <c r="Y174" s="26"/>
      <c r="Z174" s="26"/>
      <c r="AA174" s="26"/>
      <c r="AB174" s="25"/>
      <c r="AC174" s="27"/>
      <c r="AD174" s="25"/>
      <c r="AE174" s="25"/>
      <c r="AF174" s="36" t="s">
        <v>5</v>
      </c>
      <c r="AG174" s="15">
        <v>6284</v>
      </c>
      <c r="AH174" s="2">
        <v>0</v>
      </c>
      <c r="AI174" s="30">
        <v>0</v>
      </c>
      <c r="AJ174" s="2">
        <v>1</v>
      </c>
      <c r="AK174" s="38">
        <v>100.70000000000002</v>
      </c>
      <c r="AL174" s="38">
        <v>4.8999999999999995</v>
      </c>
      <c r="AM174" s="52">
        <v>3874.54</v>
      </c>
      <c r="AN174" s="15">
        <v>6227.6966666666667</v>
      </c>
      <c r="AP174" s="36" t="s">
        <v>6</v>
      </c>
      <c r="AQ174" s="15">
        <v>6228.6466666666674</v>
      </c>
      <c r="AR174" s="2">
        <v>0</v>
      </c>
      <c r="AS174" s="30">
        <v>0</v>
      </c>
      <c r="AT174" s="2">
        <v>1</v>
      </c>
      <c r="AU174" s="38">
        <v>100.39790000000002</v>
      </c>
      <c r="AV174" s="38">
        <v>4.6333333333333337</v>
      </c>
      <c r="AW174" s="16">
        <v>3938.3</v>
      </c>
      <c r="AX174" s="15">
        <v>6284</v>
      </c>
    </row>
    <row r="175" spans="2:50" x14ac:dyDescent="0.25">
      <c r="B175" s="24" t="s">
        <v>6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6"/>
      <c r="Y175" s="26"/>
      <c r="Z175" s="26"/>
      <c r="AA175" s="26"/>
      <c r="AB175" s="25"/>
      <c r="AC175" s="27"/>
      <c r="AD175" s="25"/>
      <c r="AE175" s="25"/>
      <c r="AF175" s="36" t="s">
        <v>6</v>
      </c>
      <c r="AG175" s="15">
        <v>6228.6466666666674</v>
      </c>
      <c r="AH175" s="2">
        <v>0</v>
      </c>
      <c r="AI175" s="30">
        <v>0</v>
      </c>
      <c r="AJ175" s="2">
        <v>1</v>
      </c>
      <c r="AK175" s="38">
        <v>100.39790000000002</v>
      </c>
      <c r="AL175" s="38">
        <v>4.6333333333333337</v>
      </c>
      <c r="AM175" s="52">
        <v>3938.3</v>
      </c>
      <c r="AN175" s="15">
        <v>6284</v>
      </c>
      <c r="AP175" s="36" t="s">
        <v>7</v>
      </c>
      <c r="AQ175" s="15">
        <v>6379.0406666666668</v>
      </c>
      <c r="AR175" s="2">
        <v>0</v>
      </c>
      <c r="AS175" s="30">
        <v>0</v>
      </c>
      <c r="AT175" s="2">
        <v>1</v>
      </c>
      <c r="AU175" s="38">
        <v>100.09670630000002</v>
      </c>
      <c r="AV175" s="38">
        <v>4.4666666666666668</v>
      </c>
      <c r="AW175" s="16">
        <v>4160.5</v>
      </c>
      <c r="AX175" s="15">
        <v>6228.6466666666674</v>
      </c>
    </row>
    <row r="176" spans="2:50" x14ac:dyDescent="0.25">
      <c r="B176" s="24" t="s">
        <v>7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6"/>
      <c r="Y176" s="26"/>
      <c r="Z176" s="26"/>
      <c r="AA176" s="26"/>
      <c r="AB176" s="25"/>
      <c r="AC176" s="27"/>
      <c r="AD176" s="25"/>
      <c r="AE176" s="25"/>
      <c r="AF176" s="36" t="s">
        <v>7</v>
      </c>
      <c r="AG176" s="15">
        <v>6379.0406666666668</v>
      </c>
      <c r="AH176" s="2">
        <v>0</v>
      </c>
      <c r="AI176" s="30">
        <v>0</v>
      </c>
      <c r="AJ176" s="2">
        <v>1</v>
      </c>
      <c r="AK176" s="38">
        <v>100.09670630000002</v>
      </c>
      <c r="AL176" s="38">
        <v>4.4666666666666668</v>
      </c>
      <c r="AM176" s="52">
        <v>4160.5</v>
      </c>
      <c r="AN176" s="15">
        <v>6228.6466666666674</v>
      </c>
      <c r="AP176" s="36" t="s">
        <v>8</v>
      </c>
      <c r="AQ176" s="15">
        <v>6325.1566666666668</v>
      </c>
      <c r="AR176" s="2">
        <v>0</v>
      </c>
      <c r="AS176" s="30">
        <v>0</v>
      </c>
      <c r="AT176" s="2">
        <v>1</v>
      </c>
      <c r="AU176" s="38">
        <v>99.596222768500027</v>
      </c>
      <c r="AV176" s="38">
        <v>4.4666666666666668</v>
      </c>
      <c r="AW176" s="16">
        <v>4272.7700000000004</v>
      </c>
      <c r="AX176" s="15">
        <v>6379.0406666666668</v>
      </c>
    </row>
    <row r="177" spans="2:50" x14ac:dyDescent="0.25">
      <c r="B177" s="24" t="s">
        <v>8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6"/>
      <c r="Y177" s="26"/>
      <c r="Z177" s="26"/>
      <c r="AA177" s="26"/>
      <c r="AB177" s="25"/>
      <c r="AC177" s="27"/>
      <c r="AD177" s="25"/>
      <c r="AE177" s="25"/>
      <c r="AF177" s="36" t="s">
        <v>8</v>
      </c>
      <c r="AG177" s="15">
        <v>6325.1566666666668</v>
      </c>
      <c r="AH177" s="2">
        <v>0</v>
      </c>
      <c r="AI177" s="30">
        <v>0</v>
      </c>
      <c r="AJ177" s="2">
        <v>1</v>
      </c>
      <c r="AK177" s="38">
        <v>99.596222768500027</v>
      </c>
      <c r="AL177" s="38">
        <v>4.4666666666666668</v>
      </c>
      <c r="AM177" s="52">
        <v>4272.7700000000004</v>
      </c>
      <c r="AN177" s="15">
        <v>6379.0406666666668</v>
      </c>
      <c r="AP177" s="36" t="s">
        <v>9</v>
      </c>
      <c r="AQ177" s="15">
        <v>6242.4033333333327</v>
      </c>
      <c r="AR177" s="2">
        <v>0</v>
      </c>
      <c r="AS177" s="30">
        <v>0</v>
      </c>
      <c r="AT177" s="2">
        <v>1</v>
      </c>
      <c r="AU177" s="38">
        <v>100.09420388234251</v>
      </c>
      <c r="AV177" s="38">
        <v>4.2333333333333334</v>
      </c>
      <c r="AW177" s="16">
        <v>4083.58</v>
      </c>
      <c r="AX177" s="15">
        <v>6325.1566666666668</v>
      </c>
    </row>
    <row r="178" spans="2:50" x14ac:dyDescent="0.25">
      <c r="B178" s="24" t="s">
        <v>9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6"/>
      <c r="Y178" s="26"/>
      <c r="Z178" s="26"/>
      <c r="AA178" s="26"/>
      <c r="AB178" s="25"/>
      <c r="AC178" s="27"/>
      <c r="AD178" s="25"/>
      <c r="AE178" s="25"/>
      <c r="AF178" s="36" t="s">
        <v>9</v>
      </c>
      <c r="AG178" s="15">
        <v>6242.4033333333327</v>
      </c>
      <c r="AH178" s="2">
        <v>0</v>
      </c>
      <c r="AI178" s="30">
        <v>0</v>
      </c>
      <c r="AJ178" s="2">
        <v>1</v>
      </c>
      <c r="AK178" s="38">
        <v>100.09420388234251</v>
      </c>
      <c r="AL178" s="38">
        <v>4.2333333333333334</v>
      </c>
      <c r="AM178" s="52">
        <v>4083.58</v>
      </c>
      <c r="AN178" s="15">
        <v>6325.1566666666668</v>
      </c>
      <c r="AP178" s="36" t="s">
        <v>10</v>
      </c>
      <c r="AQ178" s="15">
        <v>6243.2673333333332</v>
      </c>
      <c r="AR178" s="2">
        <v>0</v>
      </c>
      <c r="AS178" s="30">
        <v>0</v>
      </c>
      <c r="AT178" s="2">
        <v>1</v>
      </c>
      <c r="AU178" s="38">
        <v>99.693827066813142</v>
      </c>
      <c r="AV178" s="38">
        <v>3.8666666666666667</v>
      </c>
      <c r="AW178" s="16">
        <v>4145.74</v>
      </c>
      <c r="AX178" s="15">
        <v>6242.4033333333327</v>
      </c>
    </row>
    <row r="179" spans="2:50" x14ac:dyDescent="0.25">
      <c r="B179" s="24" t="s">
        <v>10</v>
      </c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6"/>
      <c r="Y179" s="26"/>
      <c r="Z179" s="26"/>
      <c r="AA179" s="26"/>
      <c r="AB179" s="25"/>
      <c r="AC179" s="27"/>
      <c r="AD179" s="25"/>
      <c r="AE179" s="25"/>
      <c r="AF179" s="36" t="s">
        <v>10</v>
      </c>
      <c r="AG179" s="15">
        <v>6243.2673333333332</v>
      </c>
      <c r="AH179" s="2">
        <v>0</v>
      </c>
      <c r="AI179" s="30">
        <v>0</v>
      </c>
      <c r="AJ179" s="2">
        <v>1</v>
      </c>
      <c r="AK179" s="38">
        <v>99.693827066813142</v>
      </c>
      <c r="AL179" s="38">
        <v>3.8666666666666667</v>
      </c>
      <c r="AM179" s="52">
        <v>4145.74</v>
      </c>
      <c r="AN179" s="15">
        <v>6242.4033333333327</v>
      </c>
      <c r="AP179" s="36" t="s">
        <v>11</v>
      </c>
      <c r="AQ179" s="15">
        <v>6089.34</v>
      </c>
      <c r="AR179" s="2">
        <v>0</v>
      </c>
      <c r="AS179" s="30">
        <v>0</v>
      </c>
      <c r="AT179" s="2">
        <v>1</v>
      </c>
      <c r="AU179" s="38">
        <v>100.39168385628085</v>
      </c>
      <c r="AV179" s="38">
        <v>3.6333333333333333</v>
      </c>
      <c r="AW179" s="16">
        <v>4212.93</v>
      </c>
      <c r="AX179" s="15">
        <v>6243.2673333333332</v>
      </c>
    </row>
    <row r="180" spans="2:50" x14ac:dyDescent="0.25">
      <c r="B180" s="24" t="s">
        <v>11</v>
      </c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6"/>
      <c r="Y180" s="26"/>
      <c r="Z180" s="26"/>
      <c r="AA180" s="26"/>
      <c r="AB180" s="25"/>
      <c r="AC180" s="27"/>
      <c r="AD180" s="25"/>
      <c r="AE180" s="25"/>
      <c r="AF180" s="36" t="s">
        <v>11</v>
      </c>
      <c r="AG180" s="15">
        <v>6089.34</v>
      </c>
      <c r="AH180" s="2">
        <v>0</v>
      </c>
      <c r="AI180" s="30">
        <v>0</v>
      </c>
      <c r="AJ180" s="2">
        <v>1</v>
      </c>
      <c r="AK180" s="38">
        <v>100.39168385628085</v>
      </c>
      <c r="AL180" s="38">
        <v>3.6333333333333333</v>
      </c>
      <c r="AM180" s="52">
        <v>4212.93</v>
      </c>
      <c r="AN180" s="15">
        <v>6243.2673333333332</v>
      </c>
      <c r="AP180" s="36" t="s">
        <v>12</v>
      </c>
      <c r="AQ180" s="15">
        <v>6315.7233333333324</v>
      </c>
      <c r="AR180" s="2">
        <v>0</v>
      </c>
      <c r="AS180" s="30">
        <v>0</v>
      </c>
      <c r="AT180" s="2">
        <v>1</v>
      </c>
      <c r="AU180" s="38">
        <v>101.59638406255623</v>
      </c>
      <c r="AV180" s="38">
        <v>3.4666666666666668</v>
      </c>
      <c r="AW180" s="16">
        <v>4486.54</v>
      </c>
      <c r="AX180" s="15">
        <v>6089.34</v>
      </c>
    </row>
    <row r="181" spans="2:50" x14ac:dyDescent="0.25">
      <c r="B181" s="24" t="s">
        <v>12</v>
      </c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6"/>
      <c r="Y181" s="26"/>
      <c r="Z181" s="26"/>
      <c r="AA181" s="26"/>
      <c r="AB181" s="25"/>
      <c r="AC181" s="27"/>
      <c r="AD181" s="25"/>
      <c r="AE181" s="25"/>
      <c r="AF181" s="36" t="s">
        <v>12</v>
      </c>
      <c r="AG181" s="15">
        <v>6315.7233333333324</v>
      </c>
      <c r="AH181" s="2">
        <v>0</v>
      </c>
      <c r="AI181" s="30">
        <v>0</v>
      </c>
      <c r="AJ181" s="2">
        <v>1</v>
      </c>
      <c r="AK181" s="38">
        <v>101.59638406255623</v>
      </c>
      <c r="AL181" s="38">
        <v>3.4666666666666668</v>
      </c>
      <c r="AM181" s="52">
        <v>4486.54</v>
      </c>
      <c r="AN181" s="15">
        <v>6089.34</v>
      </c>
      <c r="AP181" s="36" t="s">
        <v>13</v>
      </c>
      <c r="AQ181" s="15">
        <v>6084.8266666666668</v>
      </c>
      <c r="AR181" s="2">
        <v>0</v>
      </c>
      <c r="AS181" s="30">
        <v>0</v>
      </c>
      <c r="AT181" s="2">
        <v>1</v>
      </c>
      <c r="AU181" s="38">
        <v>101.79957683068133</v>
      </c>
      <c r="AV181" s="38">
        <v>3.1999999999999997</v>
      </c>
      <c r="AW181" s="16">
        <v>4324.72</v>
      </c>
      <c r="AX181" s="15">
        <v>6315.7233333333324</v>
      </c>
    </row>
    <row r="182" spans="2:50" x14ac:dyDescent="0.25">
      <c r="B182" s="24" t="s">
        <v>13</v>
      </c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6"/>
      <c r="Y182" s="26"/>
      <c r="Z182" s="26"/>
      <c r="AA182" s="26"/>
      <c r="AB182" s="25"/>
      <c r="AC182" s="27"/>
      <c r="AD182" s="25"/>
      <c r="AE182" s="25"/>
      <c r="AF182" s="36" t="s">
        <v>13</v>
      </c>
      <c r="AG182" s="15">
        <v>6084.8266666666668</v>
      </c>
      <c r="AH182" s="2">
        <v>0</v>
      </c>
      <c r="AI182" s="30">
        <v>0</v>
      </c>
      <c r="AJ182" s="2">
        <v>1</v>
      </c>
      <c r="AK182" s="38">
        <v>101.79957683068133</v>
      </c>
      <c r="AL182" s="38">
        <v>3.1999999999999997</v>
      </c>
      <c r="AM182" s="52">
        <v>4324.72</v>
      </c>
      <c r="AN182" s="15">
        <v>6315.7233333333324</v>
      </c>
      <c r="AP182" s="36" t="s">
        <v>14</v>
      </c>
      <c r="AQ182" s="15">
        <v>6091.0533333333342</v>
      </c>
      <c r="AR182" s="2">
        <v>0</v>
      </c>
      <c r="AS182" s="30">
        <v>0</v>
      </c>
      <c r="AT182" s="2">
        <v>1</v>
      </c>
      <c r="AU182" s="38">
        <v>101.69777725385066</v>
      </c>
      <c r="AV182" s="38">
        <v>3</v>
      </c>
      <c r="AW182" s="16">
        <v>4415.87</v>
      </c>
      <c r="AX182" s="15">
        <v>6084.8266666666668</v>
      </c>
    </row>
    <row r="183" spans="2:50" x14ac:dyDescent="0.25">
      <c r="B183" s="24" t="s">
        <v>14</v>
      </c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AB183" s="25"/>
      <c r="AC183" s="27"/>
      <c r="AD183" s="25"/>
      <c r="AE183" s="25"/>
      <c r="AF183" s="36" t="s">
        <v>14</v>
      </c>
      <c r="AG183" s="15">
        <v>6091.0533333333342</v>
      </c>
      <c r="AH183" s="2">
        <v>0</v>
      </c>
      <c r="AI183" s="30">
        <v>0</v>
      </c>
      <c r="AJ183" s="2">
        <v>1</v>
      </c>
      <c r="AK183" s="38">
        <v>101.69777725385066</v>
      </c>
      <c r="AL183" s="38">
        <v>3</v>
      </c>
      <c r="AM183" s="52">
        <v>4415.87</v>
      </c>
      <c r="AN183" s="15">
        <v>6084.8266666666668</v>
      </c>
      <c r="AP183" s="36" t="s">
        <v>15</v>
      </c>
      <c r="AQ183" s="15">
        <v>6195.4933333333329</v>
      </c>
      <c r="AR183" s="2">
        <v>0</v>
      </c>
      <c r="AS183" s="30">
        <v>0</v>
      </c>
      <c r="AT183" s="2">
        <v>1</v>
      </c>
      <c r="AU183" s="38">
        <v>103.01984835815071</v>
      </c>
      <c r="AV183" s="38">
        <v>2.7666666666666671</v>
      </c>
      <c r="AW183" s="16">
        <v>4590.72</v>
      </c>
      <c r="AX183" s="15">
        <v>6091.0533333333342</v>
      </c>
    </row>
    <row r="184" spans="2:50" x14ac:dyDescent="0.25">
      <c r="B184" s="24" t="s">
        <v>15</v>
      </c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AB184" s="25"/>
      <c r="AC184" s="27"/>
      <c r="AD184" s="25"/>
      <c r="AE184" s="25"/>
      <c r="AF184" s="36" t="s">
        <v>15</v>
      </c>
      <c r="AG184" s="15">
        <v>6195.4933333333329</v>
      </c>
      <c r="AH184" s="2">
        <v>0</v>
      </c>
      <c r="AI184" s="30">
        <v>0</v>
      </c>
      <c r="AJ184" s="2">
        <v>1</v>
      </c>
      <c r="AK184" s="38">
        <v>103.01984835815071</v>
      </c>
      <c r="AL184" s="38">
        <v>2.7666666666666671</v>
      </c>
      <c r="AM184" s="52">
        <v>4590.72</v>
      </c>
      <c r="AN184" s="15">
        <v>6091.0533333333342</v>
      </c>
      <c r="AP184" s="36" t="s">
        <v>16</v>
      </c>
      <c r="AQ184" s="15">
        <v>6360.6166666666659</v>
      </c>
      <c r="AR184" s="2">
        <v>0</v>
      </c>
      <c r="AS184" s="30">
        <v>0</v>
      </c>
      <c r="AT184" s="2">
        <v>1</v>
      </c>
      <c r="AU184" s="38">
        <v>103.63796744829962</v>
      </c>
      <c r="AV184" s="38">
        <v>2.7000000000000006</v>
      </c>
      <c r="AW184" s="16">
        <v>4796.37</v>
      </c>
      <c r="AX184" s="15">
        <v>6195.4933333333329</v>
      </c>
    </row>
    <row r="185" spans="2:50" x14ac:dyDescent="0.25">
      <c r="B185" s="24" t="s">
        <v>16</v>
      </c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AB185" s="25"/>
      <c r="AC185" s="27"/>
      <c r="AD185" s="25"/>
      <c r="AE185" s="25"/>
      <c r="AF185" s="36" t="s">
        <v>16</v>
      </c>
      <c r="AG185" s="15">
        <v>6360.6166666666659</v>
      </c>
      <c r="AH185" s="2">
        <v>0</v>
      </c>
      <c r="AI185" s="30">
        <v>0</v>
      </c>
      <c r="AJ185" s="2">
        <v>1</v>
      </c>
      <c r="AK185" s="38">
        <v>103.63796744829962</v>
      </c>
      <c r="AL185" s="38">
        <v>2.7000000000000006</v>
      </c>
      <c r="AM185" s="52">
        <v>4796.37</v>
      </c>
      <c r="AN185" s="15">
        <v>6195.4933333333329</v>
      </c>
      <c r="AP185" s="36" t="s">
        <v>17</v>
      </c>
      <c r="AQ185" s="15">
        <v>6232.7566666666671</v>
      </c>
      <c r="AR185" s="2">
        <v>0</v>
      </c>
      <c r="AS185" s="30">
        <v>0</v>
      </c>
      <c r="AT185" s="2">
        <v>1</v>
      </c>
      <c r="AU185" s="38">
        <v>104.25979525298942</v>
      </c>
      <c r="AV185" s="38">
        <v>2.5666666666666669</v>
      </c>
      <c r="AW185" s="16">
        <v>4638.08</v>
      </c>
      <c r="AX185" s="15">
        <v>6360.6166666666659</v>
      </c>
    </row>
    <row r="186" spans="2:50" x14ac:dyDescent="0.25">
      <c r="B186" s="24" t="s">
        <v>17</v>
      </c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AB186" s="25"/>
      <c r="AC186" s="27"/>
      <c r="AD186" s="25"/>
      <c r="AE186" s="25"/>
      <c r="AF186" s="36" t="s">
        <v>17</v>
      </c>
      <c r="AG186" s="15">
        <v>6232.7566666666671</v>
      </c>
      <c r="AH186" s="2">
        <v>0</v>
      </c>
      <c r="AI186" s="30">
        <v>0</v>
      </c>
      <c r="AJ186" s="2">
        <v>1</v>
      </c>
      <c r="AK186" s="38">
        <v>104.25979525298942</v>
      </c>
      <c r="AL186" s="38">
        <v>2.5666666666666669</v>
      </c>
      <c r="AM186" s="52">
        <v>4638.08</v>
      </c>
      <c r="AN186" s="15">
        <v>6360.6166666666659</v>
      </c>
      <c r="AP186" s="36" t="s">
        <v>18</v>
      </c>
      <c r="AQ186" s="15">
        <v>6310.333333333333</v>
      </c>
      <c r="AR186" s="2">
        <v>0</v>
      </c>
      <c r="AS186" s="30">
        <v>0</v>
      </c>
      <c r="AT186" s="2">
        <v>1</v>
      </c>
      <c r="AU186" s="38">
        <v>104.46831484349539</v>
      </c>
      <c r="AV186" s="38">
        <v>2.4666666666666668</v>
      </c>
      <c r="AW186" s="16">
        <v>4707.1099999999997</v>
      </c>
      <c r="AX186" s="15">
        <v>6232.7566666666671</v>
      </c>
    </row>
    <row r="187" spans="2:50" x14ac:dyDescent="0.25">
      <c r="B187" s="24" t="s">
        <v>18</v>
      </c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AB187" s="25"/>
      <c r="AC187" s="27"/>
      <c r="AD187" s="25"/>
      <c r="AE187" s="25"/>
      <c r="AF187" s="36" t="s">
        <v>18</v>
      </c>
      <c r="AG187" s="15">
        <v>6310.333333333333</v>
      </c>
      <c r="AH187" s="2">
        <v>0</v>
      </c>
      <c r="AI187" s="30">
        <v>0</v>
      </c>
      <c r="AJ187" s="2">
        <v>1</v>
      </c>
      <c r="AK187" s="38">
        <v>104.46831484349539</v>
      </c>
      <c r="AL187" s="38">
        <v>2.4666666666666668</v>
      </c>
      <c r="AM187" s="52">
        <v>4707.1099999999997</v>
      </c>
      <c r="AN187" s="15">
        <v>6232.7566666666671</v>
      </c>
      <c r="AP187" s="36" t="s">
        <v>19</v>
      </c>
      <c r="AQ187" s="15">
        <v>6502.3433333333332</v>
      </c>
      <c r="AR187" s="2">
        <v>0</v>
      </c>
      <c r="AS187" s="30">
        <v>0</v>
      </c>
      <c r="AT187" s="2">
        <v>1</v>
      </c>
      <c r="AU187" s="38">
        <v>104.99065641771286</v>
      </c>
      <c r="AV187" s="38">
        <v>2.4</v>
      </c>
      <c r="AW187" s="16">
        <v>4901.28</v>
      </c>
      <c r="AX187" s="15">
        <v>6310.333333333333</v>
      </c>
    </row>
    <row r="188" spans="2:50" x14ac:dyDescent="0.25">
      <c r="B188" s="24" t="s">
        <v>19</v>
      </c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AB188" s="25"/>
      <c r="AC188" s="27"/>
      <c r="AD188" s="25"/>
      <c r="AE188" s="25"/>
      <c r="AF188" s="36" t="s">
        <v>19</v>
      </c>
      <c r="AG188" s="15">
        <v>6502.3433333333332</v>
      </c>
      <c r="AH188" s="2">
        <v>0</v>
      </c>
      <c r="AI188" s="30">
        <v>0</v>
      </c>
      <c r="AJ188" s="2">
        <v>1</v>
      </c>
      <c r="AK188" s="38">
        <v>104.99065641771286</v>
      </c>
      <c r="AL188" s="38">
        <v>2.4</v>
      </c>
      <c r="AM188" s="52">
        <v>4901.28</v>
      </c>
      <c r="AN188" s="15">
        <v>6310.333333333333</v>
      </c>
      <c r="AP188" s="36" t="s">
        <v>4</v>
      </c>
      <c r="AQ188" s="15">
        <v>6716.7749999999996</v>
      </c>
      <c r="AR188" s="2">
        <v>-1</v>
      </c>
      <c r="AS188" s="2">
        <v>-1</v>
      </c>
      <c r="AT188" s="2">
        <v>-1</v>
      </c>
      <c r="AU188" s="38">
        <v>100</v>
      </c>
      <c r="AV188" s="38">
        <v>5.2</v>
      </c>
      <c r="AW188" s="16">
        <v>4103.62</v>
      </c>
      <c r="AX188" s="15">
        <v>6502.3433333333332</v>
      </c>
    </row>
    <row r="189" spans="2:50" x14ac:dyDescent="0.25">
      <c r="B189" s="41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AB189" s="25"/>
      <c r="AC189" s="27"/>
      <c r="AD189" s="25"/>
      <c r="AE189" s="25"/>
      <c r="AF189" s="36" t="s">
        <v>4</v>
      </c>
      <c r="AG189" s="15">
        <v>6716.7749999999996</v>
      </c>
      <c r="AH189" s="2">
        <v>-1</v>
      </c>
      <c r="AI189" s="2">
        <v>-1</v>
      </c>
      <c r="AJ189" s="2">
        <v>-1</v>
      </c>
      <c r="AK189" s="38">
        <v>100</v>
      </c>
      <c r="AL189" s="38">
        <v>5.2</v>
      </c>
      <c r="AM189" s="52">
        <v>4103.62</v>
      </c>
      <c r="AN189" s="15">
        <v>6502.3433333333332</v>
      </c>
      <c r="AP189" s="36" t="s">
        <v>5</v>
      </c>
      <c r="AQ189" s="15">
        <v>7012</v>
      </c>
      <c r="AR189" s="2">
        <v>-1</v>
      </c>
      <c r="AS189" s="2">
        <v>-1</v>
      </c>
      <c r="AT189" s="2">
        <v>-1</v>
      </c>
      <c r="AU189" s="38">
        <v>100.70000000000002</v>
      </c>
      <c r="AV189" s="38">
        <v>4.8999999999999995</v>
      </c>
      <c r="AW189" s="16">
        <v>3874.54</v>
      </c>
      <c r="AX189" s="15">
        <v>6716.7749999999996</v>
      </c>
    </row>
    <row r="190" spans="2:50" x14ac:dyDescent="0.25">
      <c r="B190" s="41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AB190" s="25"/>
      <c r="AC190" s="27"/>
      <c r="AD190" s="25"/>
      <c r="AE190" s="25"/>
      <c r="AF190" s="36" t="s">
        <v>5</v>
      </c>
      <c r="AG190" s="15">
        <v>7012</v>
      </c>
      <c r="AH190" s="2">
        <v>-1</v>
      </c>
      <c r="AI190" s="2">
        <v>-1</v>
      </c>
      <c r="AJ190" s="2">
        <v>-1</v>
      </c>
      <c r="AK190" s="38">
        <v>100.70000000000002</v>
      </c>
      <c r="AL190" s="38">
        <v>4.8999999999999995</v>
      </c>
      <c r="AM190" s="52">
        <v>3874.54</v>
      </c>
      <c r="AN190" s="15">
        <v>6716.7749999999996</v>
      </c>
      <c r="AP190" s="36" t="s">
        <v>6</v>
      </c>
      <c r="AQ190" s="15">
        <v>6793.1350000000002</v>
      </c>
      <c r="AR190" s="2">
        <v>-1</v>
      </c>
      <c r="AS190" s="2">
        <v>-1</v>
      </c>
      <c r="AT190" s="2">
        <v>-1</v>
      </c>
      <c r="AU190" s="38">
        <v>100.39790000000002</v>
      </c>
      <c r="AV190" s="38">
        <v>4.6333333333333337</v>
      </c>
      <c r="AW190" s="16">
        <v>3938.3</v>
      </c>
      <c r="AX190" s="15">
        <v>7012</v>
      </c>
    </row>
    <row r="191" spans="2:50" x14ac:dyDescent="0.25">
      <c r="B191" s="41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AB191" s="25"/>
      <c r="AC191" s="27"/>
      <c r="AD191" s="25"/>
      <c r="AE191" s="25"/>
      <c r="AF191" s="36" t="s">
        <v>6</v>
      </c>
      <c r="AG191" s="15">
        <v>6793.1350000000002</v>
      </c>
      <c r="AH191" s="2">
        <v>-1</v>
      </c>
      <c r="AI191" s="2">
        <v>-1</v>
      </c>
      <c r="AJ191" s="2">
        <v>-1</v>
      </c>
      <c r="AK191" s="38">
        <v>100.39790000000002</v>
      </c>
      <c r="AL191" s="38">
        <v>4.6333333333333337</v>
      </c>
      <c r="AM191" s="52">
        <v>3938.3</v>
      </c>
      <c r="AN191" s="15">
        <v>7012</v>
      </c>
      <c r="AP191" s="36" t="s">
        <v>7</v>
      </c>
      <c r="AQ191" s="15">
        <v>6980.6620000000003</v>
      </c>
      <c r="AR191" s="2">
        <v>-1</v>
      </c>
      <c r="AS191" s="2">
        <v>-1</v>
      </c>
      <c r="AT191" s="2">
        <v>-1</v>
      </c>
      <c r="AU191" s="38">
        <v>100.09670630000002</v>
      </c>
      <c r="AV191" s="38">
        <v>4.4666666666666668</v>
      </c>
      <c r="AW191" s="16">
        <v>4160.5</v>
      </c>
      <c r="AX191" s="15">
        <v>6793.1350000000002</v>
      </c>
    </row>
    <row r="192" spans="2:50" x14ac:dyDescent="0.25">
      <c r="B192" s="41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AB192" s="25"/>
      <c r="AC192" s="27"/>
      <c r="AD192" s="25"/>
      <c r="AE192" s="25"/>
      <c r="AF192" s="36" t="s">
        <v>7</v>
      </c>
      <c r="AG192" s="15">
        <v>6980.6620000000003</v>
      </c>
      <c r="AH192" s="2">
        <v>-1</v>
      </c>
      <c r="AI192" s="2">
        <v>-1</v>
      </c>
      <c r="AJ192" s="2">
        <v>-1</v>
      </c>
      <c r="AK192" s="38">
        <v>100.09670630000002</v>
      </c>
      <c r="AL192" s="38">
        <v>4.4666666666666668</v>
      </c>
      <c r="AM192" s="52">
        <v>4160.5</v>
      </c>
      <c r="AN192" s="15">
        <v>6793.1350000000002</v>
      </c>
      <c r="AP192" s="36" t="s">
        <v>8</v>
      </c>
      <c r="AQ192" s="15">
        <v>6855.6</v>
      </c>
      <c r="AR192" s="2">
        <v>-1</v>
      </c>
      <c r="AS192" s="2">
        <v>-1</v>
      </c>
      <c r="AT192" s="2">
        <v>-1</v>
      </c>
      <c r="AU192" s="38">
        <v>99.596222768500027</v>
      </c>
      <c r="AV192" s="38">
        <v>4.4666666666666668</v>
      </c>
      <c r="AW192" s="16">
        <v>4272.7700000000004</v>
      </c>
      <c r="AX192" s="15">
        <v>6980.6620000000003</v>
      </c>
    </row>
    <row r="193" spans="2:50" x14ac:dyDescent="0.25">
      <c r="B193" s="41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AB193" s="25"/>
      <c r="AC193" s="27"/>
      <c r="AD193" s="25"/>
      <c r="AE193" s="25"/>
      <c r="AF193" s="36" t="s">
        <v>8</v>
      </c>
      <c r="AG193" s="15">
        <v>6855.6</v>
      </c>
      <c r="AH193" s="2">
        <v>-1</v>
      </c>
      <c r="AI193" s="2">
        <v>-1</v>
      </c>
      <c r="AJ193" s="2">
        <v>-1</v>
      </c>
      <c r="AK193" s="38">
        <v>99.596222768500027</v>
      </c>
      <c r="AL193" s="38">
        <v>4.4666666666666668</v>
      </c>
      <c r="AM193" s="52">
        <v>4272.7700000000004</v>
      </c>
      <c r="AN193" s="15">
        <v>6980.6620000000003</v>
      </c>
      <c r="AP193" s="36" t="s">
        <v>9</v>
      </c>
      <c r="AQ193" s="15">
        <v>6801.67</v>
      </c>
      <c r="AR193" s="2">
        <v>-1</v>
      </c>
      <c r="AS193" s="2">
        <v>-1</v>
      </c>
      <c r="AT193" s="2">
        <v>-1</v>
      </c>
      <c r="AU193" s="38">
        <v>100.09420388234251</v>
      </c>
      <c r="AV193" s="38">
        <v>4.2333333333333334</v>
      </c>
      <c r="AW193" s="16">
        <v>4083.58</v>
      </c>
      <c r="AX193" s="15">
        <v>6855.6</v>
      </c>
    </row>
    <row r="194" spans="2:50" x14ac:dyDescent="0.25">
      <c r="B194" s="41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AB194" s="25"/>
      <c r="AC194" s="27"/>
      <c r="AD194" s="25"/>
      <c r="AE194" s="25"/>
      <c r="AF194" s="36" t="s">
        <v>9</v>
      </c>
      <c r="AG194" s="15">
        <v>6801.67</v>
      </c>
      <c r="AH194" s="2">
        <v>-1</v>
      </c>
      <c r="AI194" s="2">
        <v>-1</v>
      </c>
      <c r="AJ194" s="2">
        <v>-1</v>
      </c>
      <c r="AK194" s="38">
        <v>100.09420388234251</v>
      </c>
      <c r="AL194" s="38">
        <v>4.2333333333333334</v>
      </c>
      <c r="AM194" s="52">
        <v>4083.58</v>
      </c>
      <c r="AN194" s="15">
        <v>6855.6</v>
      </c>
      <c r="AP194" s="36" t="s">
        <v>10</v>
      </c>
      <c r="AQ194" s="15">
        <v>6636.0344999999998</v>
      </c>
      <c r="AR194" s="2">
        <v>-1</v>
      </c>
      <c r="AS194" s="2">
        <v>-1</v>
      </c>
      <c r="AT194" s="2">
        <v>-1</v>
      </c>
      <c r="AU194" s="38">
        <v>99.693827066813142</v>
      </c>
      <c r="AV194" s="38">
        <v>3.8666666666666667</v>
      </c>
      <c r="AW194" s="16">
        <v>4145.74</v>
      </c>
      <c r="AX194" s="15">
        <v>6801.67</v>
      </c>
    </row>
    <row r="195" spans="2:50" x14ac:dyDescent="0.25">
      <c r="B195" s="41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AB195" s="25"/>
      <c r="AC195" s="27"/>
      <c r="AD195" s="25"/>
      <c r="AE195" s="25"/>
      <c r="AF195" s="36" t="s">
        <v>10</v>
      </c>
      <c r="AG195" s="15">
        <v>6636.0344999999998</v>
      </c>
      <c r="AH195" s="2">
        <v>-1</v>
      </c>
      <c r="AI195" s="2">
        <v>-1</v>
      </c>
      <c r="AJ195" s="2">
        <v>-1</v>
      </c>
      <c r="AK195" s="38">
        <v>99.693827066813142</v>
      </c>
      <c r="AL195" s="38">
        <v>3.8666666666666667</v>
      </c>
      <c r="AM195" s="52">
        <v>4145.74</v>
      </c>
      <c r="AN195" s="15">
        <v>6801.67</v>
      </c>
      <c r="AP195" s="36" t="s">
        <v>11</v>
      </c>
      <c r="AQ195" s="15">
        <v>6653.6949999999997</v>
      </c>
      <c r="AR195" s="2">
        <v>-1</v>
      </c>
      <c r="AS195" s="2">
        <v>-1</v>
      </c>
      <c r="AT195" s="2">
        <v>-1</v>
      </c>
      <c r="AU195" s="38">
        <v>100.39168385628085</v>
      </c>
      <c r="AV195" s="38">
        <v>3.6333333333333333</v>
      </c>
      <c r="AW195" s="16">
        <v>4212.93</v>
      </c>
      <c r="AX195" s="15">
        <v>6636.0344999999998</v>
      </c>
    </row>
    <row r="196" spans="2:50" x14ac:dyDescent="0.25">
      <c r="B196" s="41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AB196" s="25"/>
      <c r="AC196" s="27"/>
      <c r="AD196" s="25"/>
      <c r="AE196" s="25"/>
      <c r="AF196" s="36" t="s">
        <v>11</v>
      </c>
      <c r="AG196" s="15">
        <v>6653.6949999999997</v>
      </c>
      <c r="AH196" s="2">
        <v>-1</v>
      </c>
      <c r="AI196" s="2">
        <v>-1</v>
      </c>
      <c r="AJ196" s="2">
        <v>-1</v>
      </c>
      <c r="AK196" s="38">
        <v>100.39168385628085</v>
      </c>
      <c r="AL196" s="38">
        <v>3.6333333333333333</v>
      </c>
      <c r="AM196" s="52">
        <v>4212.93</v>
      </c>
      <c r="AN196" s="15">
        <v>6636.0344999999998</v>
      </c>
      <c r="AP196" s="36" t="s">
        <v>12</v>
      </c>
      <c r="AQ196" s="15">
        <v>6581.2649999999994</v>
      </c>
      <c r="AR196" s="2">
        <v>-1</v>
      </c>
      <c r="AS196" s="2">
        <v>-1</v>
      </c>
      <c r="AT196" s="2">
        <v>-1</v>
      </c>
      <c r="AU196" s="38">
        <v>101.59638406255623</v>
      </c>
      <c r="AV196" s="38">
        <v>3.4666666666666668</v>
      </c>
      <c r="AW196" s="16">
        <v>4486.54</v>
      </c>
      <c r="AX196" s="15">
        <v>6653.6949999999997</v>
      </c>
    </row>
    <row r="197" spans="2:50" x14ac:dyDescent="0.25">
      <c r="B197" s="41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AB197" s="25"/>
      <c r="AC197" s="27"/>
      <c r="AD197" s="25"/>
      <c r="AE197" s="25"/>
      <c r="AF197" s="36" t="s">
        <v>12</v>
      </c>
      <c r="AG197" s="15">
        <v>6581.2649999999994</v>
      </c>
      <c r="AH197" s="2">
        <v>-1</v>
      </c>
      <c r="AI197" s="2">
        <v>-1</v>
      </c>
      <c r="AJ197" s="2">
        <v>-1</v>
      </c>
      <c r="AK197" s="38">
        <v>101.59638406255623</v>
      </c>
      <c r="AL197" s="38">
        <v>3.4666666666666668</v>
      </c>
      <c r="AM197" s="52">
        <v>4486.54</v>
      </c>
      <c r="AN197" s="15">
        <v>6653.6949999999997</v>
      </c>
      <c r="AP197" s="36" t="s">
        <v>13</v>
      </c>
      <c r="AQ197" s="15">
        <v>6446.35</v>
      </c>
      <c r="AR197" s="2">
        <v>-1</v>
      </c>
      <c r="AS197" s="2">
        <v>-1</v>
      </c>
      <c r="AT197" s="2">
        <v>-1</v>
      </c>
      <c r="AU197" s="38">
        <v>101.79957683068133</v>
      </c>
      <c r="AV197" s="38">
        <v>3.1999999999999997</v>
      </c>
      <c r="AW197" s="16">
        <v>4324.72</v>
      </c>
      <c r="AX197" s="15">
        <v>6581.2649999999994</v>
      </c>
    </row>
    <row r="198" spans="2:50" x14ac:dyDescent="0.25">
      <c r="B198" s="41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55" t="s">
        <v>147</v>
      </c>
      <c r="Y198" s="26"/>
      <c r="Z198" s="26"/>
      <c r="AA198" s="26"/>
      <c r="AB198" s="25"/>
      <c r="AC198" s="27"/>
      <c r="AD198" s="25"/>
      <c r="AE198" s="25"/>
      <c r="AF198" s="36" t="s">
        <v>13</v>
      </c>
      <c r="AG198" s="15">
        <v>6446.35</v>
      </c>
      <c r="AH198" s="2">
        <v>-1</v>
      </c>
      <c r="AI198" s="2">
        <v>-1</v>
      </c>
      <c r="AJ198" s="2">
        <v>-1</v>
      </c>
      <c r="AK198" s="38">
        <v>101.79957683068133</v>
      </c>
      <c r="AL198" s="38">
        <v>3.1999999999999997</v>
      </c>
      <c r="AM198" s="52">
        <v>4324.72</v>
      </c>
      <c r="AN198" s="15">
        <v>6581.2649999999994</v>
      </c>
      <c r="AP198" s="36" t="s">
        <v>14</v>
      </c>
      <c r="AQ198" s="15">
        <v>6588.2150000000001</v>
      </c>
      <c r="AR198" s="2">
        <v>-1</v>
      </c>
      <c r="AS198" s="2">
        <v>-1</v>
      </c>
      <c r="AT198" s="2">
        <v>-1</v>
      </c>
      <c r="AU198" s="38">
        <v>101.69777725385066</v>
      </c>
      <c r="AV198" s="38">
        <v>3</v>
      </c>
      <c r="AW198" s="16">
        <v>4415.87</v>
      </c>
      <c r="AX198" s="15">
        <v>6446.35</v>
      </c>
    </row>
    <row r="199" spans="2:50" x14ac:dyDescent="0.25">
      <c r="B199" s="41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Y199" s="26"/>
      <c r="Z199" s="26"/>
      <c r="AA199" s="26"/>
      <c r="AB199" s="25"/>
      <c r="AC199" s="27"/>
      <c r="AD199" s="25"/>
      <c r="AE199" s="25"/>
      <c r="AF199" s="36" t="s">
        <v>14</v>
      </c>
      <c r="AG199" s="15">
        <v>6588.2150000000001</v>
      </c>
      <c r="AH199" s="2">
        <v>-1</v>
      </c>
      <c r="AI199" s="2">
        <v>-1</v>
      </c>
      <c r="AJ199" s="2">
        <v>-1</v>
      </c>
      <c r="AK199" s="38">
        <v>101.69777725385066</v>
      </c>
      <c r="AL199" s="38">
        <v>3</v>
      </c>
      <c r="AM199" s="52">
        <v>4415.87</v>
      </c>
      <c r="AN199" s="15">
        <v>6446.35</v>
      </c>
      <c r="AP199" s="36" t="s">
        <v>15</v>
      </c>
      <c r="AQ199" s="15">
        <v>6440.16</v>
      </c>
      <c r="AR199" s="2">
        <v>-1</v>
      </c>
      <c r="AS199" s="2">
        <v>-1</v>
      </c>
      <c r="AT199" s="2">
        <v>-1</v>
      </c>
      <c r="AU199" s="38">
        <v>103.01984835815071</v>
      </c>
      <c r="AV199" s="38">
        <v>2.7666666666666671</v>
      </c>
      <c r="AW199" s="16">
        <v>4590.72</v>
      </c>
      <c r="AX199" s="15">
        <v>6588.2150000000001</v>
      </c>
    </row>
    <row r="200" spans="2:50" x14ac:dyDescent="0.25">
      <c r="B200" s="41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6"/>
      <c r="Y200" s="26"/>
      <c r="Z200" s="26"/>
      <c r="AA200" s="26"/>
      <c r="AB200" s="25"/>
      <c r="AC200" s="27"/>
      <c r="AD200" s="25"/>
      <c r="AE200" s="25"/>
      <c r="AF200" s="36" t="s">
        <v>15</v>
      </c>
      <c r="AG200" s="15">
        <v>6440.16</v>
      </c>
      <c r="AH200" s="2">
        <v>-1</v>
      </c>
      <c r="AI200" s="2">
        <v>-1</v>
      </c>
      <c r="AJ200" s="2">
        <v>-1</v>
      </c>
      <c r="AK200" s="38">
        <v>103.01984835815071</v>
      </c>
      <c r="AL200" s="38">
        <v>2.7666666666666671</v>
      </c>
      <c r="AM200" s="52">
        <v>4590.72</v>
      </c>
      <c r="AN200" s="15">
        <v>6588.2150000000001</v>
      </c>
      <c r="AP200" s="36" t="s">
        <v>16</v>
      </c>
      <c r="AQ200" s="15">
        <v>6579.8450000000003</v>
      </c>
      <c r="AR200" s="2">
        <v>-1</v>
      </c>
      <c r="AS200" s="2">
        <v>-1</v>
      </c>
      <c r="AT200" s="2">
        <v>-1</v>
      </c>
      <c r="AU200" s="38">
        <v>103.63796744829962</v>
      </c>
      <c r="AV200" s="38">
        <v>2.7000000000000006</v>
      </c>
      <c r="AW200" s="16">
        <v>4796.37</v>
      </c>
      <c r="AX200" s="15">
        <v>6440.16</v>
      </c>
    </row>
    <row r="201" spans="2:50" x14ac:dyDescent="0.25">
      <c r="B201" s="41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6"/>
      <c r="Y201" s="26"/>
      <c r="Z201" s="26"/>
      <c r="AA201" s="26"/>
      <c r="AB201" s="25"/>
      <c r="AC201" s="27"/>
      <c r="AD201" s="25"/>
      <c r="AE201" s="25"/>
      <c r="AF201" s="36" t="s">
        <v>16</v>
      </c>
      <c r="AG201" s="15">
        <v>6579.8450000000003</v>
      </c>
      <c r="AH201" s="2">
        <v>-1</v>
      </c>
      <c r="AI201" s="2">
        <v>-1</v>
      </c>
      <c r="AJ201" s="2">
        <v>-1</v>
      </c>
      <c r="AK201" s="38">
        <v>103.63796744829962</v>
      </c>
      <c r="AL201" s="38">
        <v>2.7000000000000006</v>
      </c>
      <c r="AM201" s="52">
        <v>4796.37</v>
      </c>
      <c r="AN201" s="15">
        <v>6440.16</v>
      </c>
      <c r="AP201" s="36" t="s">
        <v>17</v>
      </c>
      <c r="AQ201" s="15">
        <v>6544.87</v>
      </c>
      <c r="AR201" s="2">
        <v>-1</v>
      </c>
      <c r="AS201" s="2">
        <v>-1</v>
      </c>
      <c r="AT201" s="2">
        <v>-1</v>
      </c>
      <c r="AU201" s="38">
        <v>104.25979525298942</v>
      </c>
      <c r="AV201" s="38">
        <v>2.5666666666666669</v>
      </c>
      <c r="AW201" s="16">
        <v>4638.08</v>
      </c>
      <c r="AX201" s="15">
        <v>6579.8450000000003</v>
      </c>
    </row>
    <row r="202" spans="2:50" x14ac:dyDescent="0.25">
      <c r="B202" s="41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6"/>
      <c r="Y202" s="26"/>
      <c r="Z202" s="26"/>
      <c r="AA202" s="26"/>
      <c r="AB202" s="25"/>
      <c r="AC202" s="27"/>
      <c r="AD202" s="25"/>
      <c r="AE202" s="25"/>
      <c r="AF202" s="36" t="s">
        <v>17</v>
      </c>
      <c r="AG202" s="15">
        <v>6544.87</v>
      </c>
      <c r="AH202" s="2">
        <v>-1</v>
      </c>
      <c r="AI202" s="2">
        <v>-1</v>
      </c>
      <c r="AJ202" s="2">
        <v>-1</v>
      </c>
      <c r="AK202" s="38">
        <v>104.25979525298942</v>
      </c>
      <c r="AL202" s="38">
        <v>2.5666666666666669</v>
      </c>
      <c r="AM202" s="52">
        <v>4638.08</v>
      </c>
      <c r="AN202" s="15">
        <v>6579.8450000000003</v>
      </c>
      <c r="AP202" s="36" t="s">
        <v>18</v>
      </c>
      <c r="AQ202" s="15">
        <v>6942.5649999999996</v>
      </c>
      <c r="AR202" s="2">
        <v>-1</v>
      </c>
      <c r="AS202" s="2">
        <v>-1</v>
      </c>
      <c r="AT202" s="2">
        <v>-1</v>
      </c>
      <c r="AU202" s="38">
        <v>104.46831484349539</v>
      </c>
      <c r="AV202" s="38">
        <v>2.4666666666666668</v>
      </c>
      <c r="AW202" s="16">
        <v>4707.1099999999997</v>
      </c>
      <c r="AX202" s="15">
        <v>6544.87</v>
      </c>
    </row>
    <row r="203" spans="2:50" x14ac:dyDescent="0.25">
      <c r="B203" s="41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Y203" s="26"/>
      <c r="Z203" s="26"/>
      <c r="AA203" s="26"/>
      <c r="AB203" s="25"/>
      <c r="AC203" s="27"/>
      <c r="AD203" s="25"/>
      <c r="AE203" s="25"/>
      <c r="AF203" s="36" t="s">
        <v>18</v>
      </c>
      <c r="AG203" s="15">
        <v>6942.5649999999996</v>
      </c>
      <c r="AH203" s="2">
        <v>-1</v>
      </c>
      <c r="AI203" s="2">
        <v>-1</v>
      </c>
      <c r="AJ203" s="2">
        <v>-1</v>
      </c>
      <c r="AK203" s="38">
        <v>104.46831484349539</v>
      </c>
      <c r="AL203" s="38">
        <v>2.4666666666666668</v>
      </c>
      <c r="AM203" s="52">
        <v>4707.1099999999997</v>
      </c>
      <c r="AN203" s="15">
        <v>6544.87</v>
      </c>
      <c r="AP203" s="36" t="s">
        <v>19</v>
      </c>
      <c r="AQ203" s="15">
        <v>6794.2999999999993</v>
      </c>
      <c r="AR203" s="2">
        <v>-1</v>
      </c>
      <c r="AS203" s="2">
        <v>-1</v>
      </c>
      <c r="AT203" s="2">
        <v>-1</v>
      </c>
      <c r="AU203" s="38">
        <v>104.99065641771286</v>
      </c>
      <c r="AV203" s="38">
        <v>2.4</v>
      </c>
      <c r="AW203" s="16">
        <v>4901.28</v>
      </c>
      <c r="AX203" s="15">
        <v>6942.5649999999996</v>
      </c>
    </row>
    <row r="204" spans="2:50" x14ac:dyDescent="0.25">
      <c r="B204" s="41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6"/>
      <c r="Y204" s="26"/>
      <c r="Z204" s="26"/>
      <c r="AA204" s="26"/>
      <c r="AB204" s="25"/>
      <c r="AC204" s="27"/>
      <c r="AD204" s="25"/>
      <c r="AE204" s="25"/>
      <c r="AF204" s="36" t="s">
        <v>19</v>
      </c>
      <c r="AG204" s="15">
        <v>6794.2999999999993</v>
      </c>
      <c r="AH204" s="2">
        <v>-1</v>
      </c>
      <c r="AI204" s="2">
        <v>-1</v>
      </c>
      <c r="AJ204" s="2">
        <v>-1</v>
      </c>
      <c r="AK204" s="38">
        <v>104.99065641771286</v>
      </c>
      <c r="AL204" s="38">
        <v>2.4</v>
      </c>
      <c r="AM204" s="52">
        <v>4901.28</v>
      </c>
      <c r="AN204" s="15">
        <v>6942.5649999999996</v>
      </c>
    </row>
    <row r="205" spans="2:50" x14ac:dyDescent="0.25">
      <c r="B205" s="41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6"/>
      <c r="Y205" s="26"/>
      <c r="Z205" s="26"/>
      <c r="AA205" s="26"/>
      <c r="AB205" s="25"/>
      <c r="AC205" s="27"/>
      <c r="AD205" s="25"/>
      <c r="AE205" s="25"/>
      <c r="AF205" s="41"/>
      <c r="AG205" s="25"/>
      <c r="AH205" s="46"/>
      <c r="AI205" s="46"/>
      <c r="AJ205" s="46"/>
      <c r="AK205" s="26"/>
      <c r="AL205" s="26"/>
      <c r="AM205" s="27"/>
    </row>
    <row r="206" spans="2:50" s="4" customFormat="1" x14ac:dyDescent="0.25">
      <c r="B206" s="9" t="s">
        <v>3</v>
      </c>
      <c r="AE206" s="45"/>
      <c r="AF206" s="9" t="s">
        <v>3</v>
      </c>
      <c r="AG206" s="9" t="s">
        <v>3</v>
      </c>
    </row>
    <row r="207" spans="2:50" ht="105" x14ac:dyDescent="0.25">
      <c r="B207" s="11" t="s">
        <v>25</v>
      </c>
      <c r="C207" s="20" t="s">
        <v>70</v>
      </c>
      <c r="D207" s="20" t="s">
        <v>71</v>
      </c>
      <c r="E207" s="20" t="s">
        <v>72</v>
      </c>
      <c r="F207" s="20" t="s">
        <v>89</v>
      </c>
      <c r="G207" s="20" t="s">
        <v>88</v>
      </c>
      <c r="H207" s="21"/>
      <c r="I207" s="20" t="s">
        <v>87</v>
      </c>
      <c r="J207" s="12" t="s">
        <v>86</v>
      </c>
      <c r="K207" s="12" t="s">
        <v>85</v>
      </c>
      <c r="L207" s="12" t="s">
        <v>84</v>
      </c>
      <c r="M207" s="20" t="s">
        <v>83</v>
      </c>
      <c r="N207" s="20" t="s">
        <v>82</v>
      </c>
      <c r="O207" s="20" t="s">
        <v>81</v>
      </c>
      <c r="P207" s="35"/>
      <c r="Q207" s="20" t="s">
        <v>80</v>
      </c>
      <c r="R207" s="20" t="s">
        <v>79</v>
      </c>
      <c r="S207" s="20" t="s">
        <v>78</v>
      </c>
      <c r="T207" s="23"/>
      <c r="U207" s="20" t="s">
        <v>77</v>
      </c>
      <c r="V207" s="20" t="s">
        <v>76</v>
      </c>
      <c r="W207" s="22"/>
      <c r="X207" s="20" t="s">
        <v>65</v>
      </c>
      <c r="Y207" s="35"/>
      <c r="Z207" s="35"/>
      <c r="AA207" s="20" t="s">
        <v>75</v>
      </c>
      <c r="AB207" s="20" t="s">
        <v>74</v>
      </c>
      <c r="AC207" s="6" t="s">
        <v>69</v>
      </c>
      <c r="AD207" s="37" t="s">
        <v>73</v>
      </c>
      <c r="AE207" s="34"/>
    </row>
    <row r="208" spans="2:50" x14ac:dyDescent="0.25">
      <c r="B208" s="11" t="s">
        <v>107</v>
      </c>
      <c r="C208" s="20" t="s">
        <v>128</v>
      </c>
      <c r="D208" s="20" t="s">
        <v>122</v>
      </c>
      <c r="E208" s="20" t="s">
        <v>123</v>
      </c>
      <c r="F208" s="20" t="s">
        <v>124</v>
      </c>
      <c r="G208" s="20" t="s">
        <v>125</v>
      </c>
      <c r="H208" s="39" t="s">
        <v>130</v>
      </c>
      <c r="I208" s="20" t="s">
        <v>110</v>
      </c>
      <c r="J208" s="12" t="s">
        <v>108</v>
      </c>
      <c r="K208" s="12" t="s">
        <v>109</v>
      </c>
      <c r="L208" s="12" t="s">
        <v>111</v>
      </c>
      <c r="M208" s="39" t="s">
        <v>112</v>
      </c>
      <c r="N208" s="20" t="s">
        <v>113</v>
      </c>
      <c r="O208" s="20" t="s">
        <v>114</v>
      </c>
      <c r="P208" s="39" t="s">
        <v>135</v>
      </c>
      <c r="Q208" s="20" t="s">
        <v>115</v>
      </c>
      <c r="R208" s="20" t="s">
        <v>116</v>
      </c>
      <c r="S208" s="20" t="s">
        <v>117</v>
      </c>
      <c r="T208" s="39" t="s">
        <v>136</v>
      </c>
      <c r="U208" s="20" t="s">
        <v>118</v>
      </c>
      <c r="V208" s="20" t="s">
        <v>119</v>
      </c>
      <c r="W208" s="39" t="s">
        <v>131</v>
      </c>
      <c r="X208" s="20" t="s">
        <v>120</v>
      </c>
      <c r="Y208" s="35" t="s">
        <v>133</v>
      </c>
      <c r="Z208" s="39" t="s">
        <v>134</v>
      </c>
      <c r="AA208" s="39" t="s">
        <v>121</v>
      </c>
      <c r="AB208" s="39" t="s">
        <v>129</v>
      </c>
      <c r="AC208" s="48" t="s">
        <v>127</v>
      </c>
      <c r="AD208" s="37" t="s">
        <v>126</v>
      </c>
      <c r="AE208" s="34"/>
      <c r="AF208" s="47" t="s">
        <v>107</v>
      </c>
      <c r="AG208" s="31" t="s">
        <v>146</v>
      </c>
      <c r="AH208" s="36" t="s">
        <v>140</v>
      </c>
      <c r="AI208" s="36" t="s">
        <v>141</v>
      </c>
      <c r="AJ208" s="36" t="s">
        <v>142</v>
      </c>
      <c r="AK208" s="35" t="s">
        <v>143</v>
      </c>
      <c r="AL208" s="35" t="s">
        <v>144</v>
      </c>
      <c r="AM208" s="6" t="s">
        <v>145</v>
      </c>
      <c r="AN208" s="31" t="s">
        <v>137</v>
      </c>
      <c r="AP208" s="47" t="s">
        <v>107</v>
      </c>
      <c r="AQ208" s="31" t="s">
        <v>146</v>
      </c>
      <c r="AR208" s="36" t="s">
        <v>140</v>
      </c>
      <c r="AS208" s="36" t="s">
        <v>141</v>
      </c>
      <c r="AT208" s="36" t="s">
        <v>142</v>
      </c>
      <c r="AU208" s="35" t="s">
        <v>143</v>
      </c>
      <c r="AV208" s="35" t="s">
        <v>144</v>
      </c>
      <c r="AW208" s="6" t="s">
        <v>145</v>
      </c>
      <c r="AX208" s="31" t="s">
        <v>137</v>
      </c>
    </row>
    <row r="209" spans="2:50" x14ac:dyDescent="0.25">
      <c r="B209" s="7" t="s">
        <v>4</v>
      </c>
      <c r="C209" s="3">
        <v>7591</v>
      </c>
      <c r="D209" s="3">
        <v>7571</v>
      </c>
      <c r="E209" s="3">
        <v>7610</v>
      </c>
      <c r="F209" s="15">
        <v>7334.787728555073</v>
      </c>
      <c r="G209" s="15">
        <v>7395.5968062072752</v>
      </c>
      <c r="H209" s="15">
        <f xml:space="preserve"> AVERAGE(F209,G209)</f>
        <v>7365.1922673811741</v>
      </c>
      <c r="I209" s="3">
        <v>7426</v>
      </c>
      <c r="J209" s="3">
        <v>7273</v>
      </c>
      <c r="K209" s="3">
        <v>7449</v>
      </c>
      <c r="L209" s="3">
        <v>8219</v>
      </c>
      <c r="M209" s="15">
        <v>7857.91</v>
      </c>
      <c r="N209" s="15">
        <v>7218.2</v>
      </c>
      <c r="O209" s="15">
        <v>7373.25</v>
      </c>
      <c r="P209" s="15">
        <f>AVERAGE(N209,O209)</f>
        <v>7295.7250000000004</v>
      </c>
      <c r="Q209" s="15">
        <v>7245.47</v>
      </c>
      <c r="R209" s="15">
        <v>7349.46</v>
      </c>
      <c r="S209" s="15">
        <v>7670.03</v>
      </c>
      <c r="T209" s="15">
        <f>AVERAGE(Q209,R209,S209)</f>
        <v>7421.6533333333327</v>
      </c>
      <c r="U209" s="15">
        <v>7611.23</v>
      </c>
      <c r="V209" s="15">
        <v>8892.15</v>
      </c>
      <c r="W209" s="15">
        <f>AVERAGE(U209,V209)</f>
        <v>8251.6899999999987</v>
      </c>
      <c r="X209" s="3">
        <v>99.5</v>
      </c>
      <c r="Y209" s="38">
        <f>X209/100</f>
        <v>0.995</v>
      </c>
      <c r="Z209" s="3">
        <v>100</v>
      </c>
      <c r="AA209" s="3">
        <v>4.2333333333333334</v>
      </c>
      <c r="AB209" s="16">
        <v>2576</v>
      </c>
      <c r="AC209" s="16">
        <v>5267.32</v>
      </c>
      <c r="AD209" s="44"/>
      <c r="AE209" s="25"/>
      <c r="AF209" s="36" t="s">
        <v>4</v>
      </c>
      <c r="AG209" s="15">
        <v>7857.91</v>
      </c>
      <c r="AH209" s="2">
        <v>1</v>
      </c>
      <c r="AI209" s="2">
        <v>0</v>
      </c>
      <c r="AJ209" s="2">
        <v>0</v>
      </c>
      <c r="AK209" s="38">
        <v>100</v>
      </c>
      <c r="AL209" s="38">
        <v>4.2333333333333334</v>
      </c>
      <c r="AM209" s="52">
        <v>5267.32</v>
      </c>
      <c r="AP209" s="36" t="s">
        <v>5</v>
      </c>
      <c r="AQ209" s="15">
        <v>8284.02</v>
      </c>
      <c r="AR209" s="2">
        <v>1</v>
      </c>
      <c r="AS209" s="2">
        <v>0</v>
      </c>
      <c r="AT209" s="2">
        <v>0</v>
      </c>
      <c r="AU209" s="3">
        <v>100.49999999999999</v>
      </c>
      <c r="AV209" s="3">
        <v>3.9666666666666663</v>
      </c>
      <c r="AW209" s="16">
        <v>5036.68</v>
      </c>
      <c r="AX209" s="15">
        <v>7857.91</v>
      </c>
    </row>
    <row r="210" spans="2:50" x14ac:dyDescent="0.25">
      <c r="B210" s="7" t="s">
        <v>5</v>
      </c>
      <c r="C210" s="3">
        <v>7789</v>
      </c>
      <c r="D210" s="3">
        <v>7700</v>
      </c>
      <c r="E210" s="3">
        <v>7875</v>
      </c>
      <c r="F210" s="15">
        <v>7308.4740387315178</v>
      </c>
      <c r="G210" s="15">
        <v>7509.9059543004505</v>
      </c>
      <c r="H210" s="15">
        <f t="shared" ref="H210:H224" si="18" xml:space="preserve"> AVERAGE(F210,G210)</f>
        <v>7409.1899965159846</v>
      </c>
      <c r="I210" s="3">
        <v>7894</v>
      </c>
      <c r="J210" s="3">
        <v>7501</v>
      </c>
      <c r="K210" s="3">
        <v>7482</v>
      </c>
      <c r="L210" s="3">
        <v>8376</v>
      </c>
      <c r="M210" s="15">
        <v>8284.02</v>
      </c>
      <c r="N210" s="15">
        <v>7310.12</v>
      </c>
      <c r="O210" s="15">
        <v>7444.39</v>
      </c>
      <c r="P210" s="15">
        <f t="shared" ref="P210:P224" si="19">AVERAGE(N210,O210)</f>
        <v>7377.2550000000001</v>
      </c>
      <c r="Q210" s="15">
        <v>7579.9</v>
      </c>
      <c r="R210" s="15">
        <v>7409.97</v>
      </c>
      <c r="S210" s="15">
        <v>7556.26</v>
      </c>
      <c r="T210" s="15">
        <f t="shared" ref="T210:T224" si="20">AVERAGE(Q210,R210,S210)</f>
        <v>7515.3766666666661</v>
      </c>
      <c r="U210" s="15">
        <v>7794.1</v>
      </c>
      <c r="V210" s="15">
        <v>8620.66</v>
      </c>
      <c r="W210" s="15">
        <f t="shared" ref="W210:W224" si="21">AVERAGE(U210,V210)</f>
        <v>8207.380000000001</v>
      </c>
      <c r="X210" s="3">
        <v>100.5</v>
      </c>
      <c r="Y210" s="38">
        <f t="shared" ref="Y210:Y225" si="22">X210/100</f>
        <v>1.0049999999999999</v>
      </c>
      <c r="Z210" s="38">
        <f>Y210*Z209</f>
        <v>100.49999999999999</v>
      </c>
      <c r="AA210" s="3">
        <v>3.9666666666666663</v>
      </c>
      <c r="AB210" s="16">
        <v>3141</v>
      </c>
      <c r="AC210" s="16">
        <v>5036.68</v>
      </c>
      <c r="AD210" s="44">
        <v>42</v>
      </c>
      <c r="AE210" s="25"/>
      <c r="AF210" s="36" t="s">
        <v>5</v>
      </c>
      <c r="AG210" s="15">
        <v>8284.02</v>
      </c>
      <c r="AH210" s="2">
        <v>1</v>
      </c>
      <c r="AI210" s="2">
        <v>0</v>
      </c>
      <c r="AJ210" s="2">
        <v>0</v>
      </c>
      <c r="AK210" s="38">
        <v>100.49999999999999</v>
      </c>
      <c r="AL210" s="38">
        <v>3.9666666666666663</v>
      </c>
      <c r="AM210" s="52">
        <v>5036.68</v>
      </c>
      <c r="AN210" s="15">
        <v>7857.91</v>
      </c>
      <c r="AP210" s="36" t="s">
        <v>6</v>
      </c>
      <c r="AQ210" s="15">
        <v>8159.41</v>
      </c>
      <c r="AR210" s="2">
        <v>1</v>
      </c>
      <c r="AS210" s="2">
        <v>0</v>
      </c>
      <c r="AT210" s="2">
        <v>0</v>
      </c>
      <c r="AU210" s="3">
        <v>100.09799999999998</v>
      </c>
      <c r="AV210" s="3">
        <v>3.7666666666666671</v>
      </c>
      <c r="AW210" s="16">
        <v>5002.71</v>
      </c>
      <c r="AX210" s="15">
        <v>8284.02</v>
      </c>
    </row>
    <row r="211" spans="2:50" x14ac:dyDescent="0.25">
      <c r="B211" s="7" t="s">
        <v>6</v>
      </c>
      <c r="C211" s="3">
        <v>7722</v>
      </c>
      <c r="D211" s="3">
        <v>7752</v>
      </c>
      <c r="E211" s="3">
        <v>7687</v>
      </c>
      <c r="F211" s="15">
        <v>7447.388579387467</v>
      </c>
      <c r="G211" s="15">
        <v>7557.1059096571034</v>
      </c>
      <c r="H211" s="15">
        <f t="shared" si="18"/>
        <v>7502.2472445222847</v>
      </c>
      <c r="I211" s="3">
        <v>7628</v>
      </c>
      <c r="J211" s="3">
        <v>7480</v>
      </c>
      <c r="K211" s="3">
        <v>7470</v>
      </c>
      <c r="L211" s="3">
        <v>8492</v>
      </c>
      <c r="M211" s="15">
        <v>8159.41</v>
      </c>
      <c r="N211" s="15">
        <v>7266.42</v>
      </c>
      <c r="O211" s="15">
        <v>7278.83</v>
      </c>
      <c r="P211" s="15">
        <f t="shared" si="19"/>
        <v>7272.625</v>
      </c>
      <c r="Q211" s="15">
        <v>7576.05</v>
      </c>
      <c r="R211" s="15">
        <v>7334.73</v>
      </c>
      <c r="S211" s="15">
        <v>7366.34</v>
      </c>
      <c r="T211" s="15">
        <f t="shared" si="20"/>
        <v>7425.706666666666</v>
      </c>
      <c r="U211" s="15">
        <v>7485.85</v>
      </c>
      <c r="V211" s="15">
        <v>8490.5499999999993</v>
      </c>
      <c r="W211" s="15">
        <f t="shared" si="21"/>
        <v>7988.2</v>
      </c>
      <c r="X211" s="3">
        <v>99.6</v>
      </c>
      <c r="Y211" s="38">
        <f t="shared" si="22"/>
        <v>0.996</v>
      </c>
      <c r="Z211" s="38">
        <f t="shared" ref="Z211:Z225" si="23">Y211*Z210</f>
        <v>100.09799999999998</v>
      </c>
      <c r="AA211" s="3">
        <v>3.7666666666666671</v>
      </c>
      <c r="AB211" s="16">
        <v>3840</v>
      </c>
      <c r="AC211" s="16">
        <v>5002.71</v>
      </c>
      <c r="AD211" s="44"/>
      <c r="AE211" s="25"/>
      <c r="AF211" s="36" t="s">
        <v>6</v>
      </c>
      <c r="AG211" s="15">
        <v>8159.41</v>
      </c>
      <c r="AH211" s="2">
        <v>1</v>
      </c>
      <c r="AI211" s="2">
        <v>0</v>
      </c>
      <c r="AJ211" s="2">
        <v>0</v>
      </c>
      <c r="AK211" s="38">
        <v>100.09799999999998</v>
      </c>
      <c r="AL211" s="38">
        <v>3.7666666666666671</v>
      </c>
      <c r="AM211" s="52">
        <v>5002.71</v>
      </c>
      <c r="AN211" s="15">
        <v>8284.02</v>
      </c>
      <c r="AP211" s="36" t="s">
        <v>7</v>
      </c>
      <c r="AQ211" s="15">
        <v>7800.35</v>
      </c>
      <c r="AR211" s="2">
        <v>1</v>
      </c>
      <c r="AS211" s="2">
        <v>0</v>
      </c>
      <c r="AT211" s="2">
        <v>0</v>
      </c>
      <c r="AU211" s="3">
        <v>99.897803999999979</v>
      </c>
      <c r="AV211" s="3">
        <v>3.4666666666666663</v>
      </c>
      <c r="AW211" s="16">
        <v>5231.3</v>
      </c>
      <c r="AX211" s="15">
        <v>8159.41</v>
      </c>
    </row>
    <row r="212" spans="2:50" x14ac:dyDescent="0.25">
      <c r="B212" s="7" t="s">
        <v>7</v>
      </c>
      <c r="C212" s="3">
        <v>7568</v>
      </c>
      <c r="D212" s="3">
        <v>7661</v>
      </c>
      <c r="E212" s="3">
        <v>7481</v>
      </c>
      <c r="F212" s="15">
        <v>7401.1062060000004</v>
      </c>
      <c r="G212" s="15">
        <v>7461.9225443756513</v>
      </c>
      <c r="H212" s="15">
        <f t="shared" si="18"/>
        <v>7431.5143751878259</v>
      </c>
      <c r="I212" s="3">
        <v>7428</v>
      </c>
      <c r="J212" s="3">
        <v>7199</v>
      </c>
      <c r="K212" s="3">
        <v>7437</v>
      </c>
      <c r="L212" s="3">
        <v>8575</v>
      </c>
      <c r="M212" s="15">
        <v>7800.35</v>
      </c>
      <c r="N212" s="15">
        <v>7031.89</v>
      </c>
      <c r="O212" s="15">
        <v>7100.63</v>
      </c>
      <c r="P212" s="15">
        <f t="shared" si="19"/>
        <v>7066.26</v>
      </c>
      <c r="Q212" s="15">
        <v>7129.76</v>
      </c>
      <c r="R212" s="15">
        <v>7198.15</v>
      </c>
      <c r="S212" s="15">
        <v>7687.78</v>
      </c>
      <c r="T212" s="15">
        <f t="shared" si="20"/>
        <v>7338.5633333333326</v>
      </c>
      <c r="U212" s="15">
        <v>7920.29</v>
      </c>
      <c r="V212" s="15">
        <v>8009.9</v>
      </c>
      <c r="W212" s="15">
        <f t="shared" si="21"/>
        <v>7965.0949999999993</v>
      </c>
      <c r="X212" s="3">
        <v>99.8</v>
      </c>
      <c r="Y212" s="38">
        <f t="shared" si="22"/>
        <v>0.998</v>
      </c>
      <c r="Z212" s="38">
        <f t="shared" si="23"/>
        <v>99.897803999999979</v>
      </c>
      <c r="AA212" s="3">
        <v>3.4666666666666663</v>
      </c>
      <c r="AB212" s="16">
        <v>3749</v>
      </c>
      <c r="AC212" s="16">
        <v>5231.3</v>
      </c>
      <c r="AD212" s="44">
        <v>1313</v>
      </c>
      <c r="AE212" s="25"/>
      <c r="AF212" s="36" t="s">
        <v>7</v>
      </c>
      <c r="AG212" s="15">
        <v>7800.35</v>
      </c>
      <c r="AH212" s="2">
        <v>1</v>
      </c>
      <c r="AI212" s="2">
        <v>0</v>
      </c>
      <c r="AJ212" s="2">
        <v>0</v>
      </c>
      <c r="AK212" s="38">
        <v>99.897803999999979</v>
      </c>
      <c r="AL212" s="38">
        <v>3.4666666666666663</v>
      </c>
      <c r="AM212" s="52">
        <v>5231.3</v>
      </c>
      <c r="AN212" s="15">
        <v>8159.41</v>
      </c>
      <c r="AP212" s="36" t="s">
        <v>8</v>
      </c>
      <c r="AQ212" s="15">
        <v>7926.01</v>
      </c>
      <c r="AR212" s="2">
        <v>1</v>
      </c>
      <c r="AS212" s="2">
        <v>0</v>
      </c>
      <c r="AT212" s="2">
        <v>0</v>
      </c>
      <c r="AU212" s="3">
        <v>99.198519371999978</v>
      </c>
      <c r="AV212" s="3">
        <v>3.3666666666666667</v>
      </c>
      <c r="AW212" s="16">
        <v>5435.95</v>
      </c>
      <c r="AX212" s="15">
        <v>7800.35</v>
      </c>
    </row>
    <row r="213" spans="2:50" x14ac:dyDescent="0.25">
      <c r="B213" s="7" t="s">
        <v>8</v>
      </c>
      <c r="C213" s="3">
        <v>7719</v>
      </c>
      <c r="D213" s="3">
        <v>7664</v>
      </c>
      <c r="E213" s="3">
        <v>7778</v>
      </c>
      <c r="F213" s="15">
        <v>7433.7497782149485</v>
      </c>
      <c r="G213" s="15">
        <v>7639.3881361932854</v>
      </c>
      <c r="H213" s="15">
        <f t="shared" si="18"/>
        <v>7536.5689572041174</v>
      </c>
      <c r="I213" s="3">
        <v>7610</v>
      </c>
      <c r="J213" s="3">
        <v>7293</v>
      </c>
      <c r="K213" s="3">
        <v>7472</v>
      </c>
      <c r="L213" s="3">
        <v>8778</v>
      </c>
      <c r="M213" s="15">
        <v>7926.01</v>
      </c>
      <c r="N213" s="15">
        <v>7225.28</v>
      </c>
      <c r="O213" s="15">
        <v>7250.67</v>
      </c>
      <c r="P213" s="15">
        <f t="shared" si="19"/>
        <v>7237.9750000000004</v>
      </c>
      <c r="Q213" s="15">
        <v>7148.73</v>
      </c>
      <c r="R213" s="15">
        <v>7071.58</v>
      </c>
      <c r="S213" s="15">
        <v>7582.57</v>
      </c>
      <c r="T213" s="15">
        <f t="shared" si="20"/>
        <v>7267.6266666666661</v>
      </c>
      <c r="U213" s="15">
        <v>7838.17</v>
      </c>
      <c r="V213" s="15">
        <v>8008.62</v>
      </c>
      <c r="W213" s="15">
        <f t="shared" si="21"/>
        <v>7923.3950000000004</v>
      </c>
      <c r="X213" s="3">
        <v>99.3</v>
      </c>
      <c r="Y213" s="38">
        <f t="shared" si="22"/>
        <v>0.99299999999999999</v>
      </c>
      <c r="Z213" s="38">
        <f t="shared" si="23"/>
        <v>99.198519371999978</v>
      </c>
      <c r="AA213" s="3">
        <v>3.3666666666666667</v>
      </c>
      <c r="AB213" s="16">
        <v>4880</v>
      </c>
      <c r="AC213" s="16">
        <v>5435.95</v>
      </c>
      <c r="AD213" s="44"/>
      <c r="AE213" s="25"/>
      <c r="AF213" s="36" t="s">
        <v>8</v>
      </c>
      <c r="AG213" s="15">
        <v>7926.01</v>
      </c>
      <c r="AH213" s="2">
        <v>1</v>
      </c>
      <c r="AI213" s="2">
        <v>0</v>
      </c>
      <c r="AJ213" s="2">
        <v>0</v>
      </c>
      <c r="AK213" s="38">
        <v>99.198519371999978</v>
      </c>
      <c r="AL213" s="38">
        <v>3.3666666666666667</v>
      </c>
      <c r="AM213" s="52">
        <v>5435.95</v>
      </c>
      <c r="AN213" s="15">
        <v>7800.35</v>
      </c>
      <c r="AP213" s="36" t="s">
        <v>9</v>
      </c>
      <c r="AQ213" s="15">
        <v>8131.97</v>
      </c>
      <c r="AR213" s="2">
        <v>1</v>
      </c>
      <c r="AS213" s="2">
        <v>0</v>
      </c>
      <c r="AT213" s="2">
        <v>0</v>
      </c>
      <c r="AU213" s="3">
        <v>99.69451196885997</v>
      </c>
      <c r="AV213" s="3">
        <v>3.1999999999999997</v>
      </c>
      <c r="AW213" s="16">
        <v>5215.26</v>
      </c>
      <c r="AX213" s="15">
        <v>7926.01</v>
      </c>
    </row>
    <row r="214" spans="2:50" x14ac:dyDescent="0.25">
      <c r="B214" s="7" t="s">
        <v>9</v>
      </c>
      <c r="C214" s="3">
        <v>7800</v>
      </c>
      <c r="D214" s="3">
        <v>7822</v>
      </c>
      <c r="E214" s="3">
        <v>7782</v>
      </c>
      <c r="F214" s="15">
        <v>7355.3848567645691</v>
      </c>
      <c r="G214" s="15">
        <v>7582.8829999999998</v>
      </c>
      <c r="H214" s="15">
        <f t="shared" si="18"/>
        <v>7469.1339283822845</v>
      </c>
      <c r="I214" s="3">
        <v>7780</v>
      </c>
      <c r="J214" s="3">
        <v>7468</v>
      </c>
      <c r="K214" s="3">
        <v>7477</v>
      </c>
      <c r="L214" s="3">
        <v>8836</v>
      </c>
      <c r="M214" s="15">
        <v>8131.97</v>
      </c>
      <c r="N214" s="15">
        <v>7436.24</v>
      </c>
      <c r="O214" s="15">
        <v>7573.26</v>
      </c>
      <c r="P214" s="15">
        <f t="shared" si="19"/>
        <v>7504.75</v>
      </c>
      <c r="Q214" s="15">
        <v>7358.1</v>
      </c>
      <c r="R214" s="15">
        <v>7188.44</v>
      </c>
      <c r="S214" s="15">
        <v>7306.58</v>
      </c>
      <c r="T214" s="15">
        <f t="shared" si="20"/>
        <v>7284.3733333333339</v>
      </c>
      <c r="U214" s="15">
        <v>7745.86</v>
      </c>
      <c r="V214" s="15">
        <v>8181.65</v>
      </c>
      <c r="W214" s="15">
        <f t="shared" si="21"/>
        <v>7963.7549999999992</v>
      </c>
      <c r="X214" s="3">
        <v>100.5</v>
      </c>
      <c r="Y214" s="38">
        <f t="shared" si="22"/>
        <v>1.0049999999999999</v>
      </c>
      <c r="Z214" s="38">
        <f t="shared" si="23"/>
        <v>99.69451196885997</v>
      </c>
      <c r="AA214" s="3">
        <v>3.1999999999999997</v>
      </c>
      <c r="AB214" s="16">
        <v>4822</v>
      </c>
      <c r="AC214" s="16">
        <v>5215.26</v>
      </c>
      <c r="AD214" s="44">
        <v>962</v>
      </c>
      <c r="AE214" s="25"/>
      <c r="AF214" s="36" t="s">
        <v>9</v>
      </c>
      <c r="AG214" s="15">
        <v>8131.97</v>
      </c>
      <c r="AH214" s="2">
        <v>1</v>
      </c>
      <c r="AI214" s="2">
        <v>0</v>
      </c>
      <c r="AJ214" s="2">
        <v>0</v>
      </c>
      <c r="AK214" s="38">
        <v>99.69451196885997</v>
      </c>
      <c r="AL214" s="38">
        <v>3.1999999999999997</v>
      </c>
      <c r="AM214" s="52">
        <v>5215.26</v>
      </c>
      <c r="AN214" s="15">
        <v>7926.01</v>
      </c>
      <c r="AP214" s="36" t="s">
        <v>10</v>
      </c>
      <c r="AQ214" s="15">
        <v>8088.39</v>
      </c>
      <c r="AR214" s="2">
        <v>1</v>
      </c>
      <c r="AS214" s="2">
        <v>0</v>
      </c>
      <c r="AT214" s="2">
        <v>0</v>
      </c>
      <c r="AU214" s="3">
        <v>99.395428432953395</v>
      </c>
      <c r="AV214" s="3">
        <v>3.0333333333333332</v>
      </c>
      <c r="AW214" s="16">
        <v>5147.24</v>
      </c>
      <c r="AX214" s="15">
        <v>8131.97</v>
      </c>
    </row>
    <row r="215" spans="2:50" x14ac:dyDescent="0.25">
      <c r="B215" s="7" t="s">
        <v>10</v>
      </c>
      <c r="C215" s="3">
        <v>7925</v>
      </c>
      <c r="D215" s="3">
        <v>8060</v>
      </c>
      <c r="E215" s="3">
        <v>7791</v>
      </c>
      <c r="F215" s="15">
        <v>7308.6098234668807</v>
      </c>
      <c r="G215" s="15">
        <v>7696.1284933089464</v>
      </c>
      <c r="H215" s="15">
        <f t="shared" si="18"/>
        <v>7502.3691583879136</v>
      </c>
      <c r="I215" s="3">
        <v>7764</v>
      </c>
      <c r="J215" s="3">
        <v>7555</v>
      </c>
      <c r="K215" s="3">
        <v>7713</v>
      </c>
      <c r="L215" s="3">
        <v>8943</v>
      </c>
      <c r="M215" s="15">
        <v>8088.39</v>
      </c>
      <c r="N215" s="15">
        <v>7303.42</v>
      </c>
      <c r="O215" s="15">
        <v>7377.39</v>
      </c>
      <c r="P215" s="15">
        <f t="shared" si="19"/>
        <v>7340.4050000000007</v>
      </c>
      <c r="Q215" s="15">
        <v>7296.03</v>
      </c>
      <c r="R215" s="15">
        <v>7311.91</v>
      </c>
      <c r="S215" s="15">
        <v>7563.5</v>
      </c>
      <c r="T215" s="15">
        <f t="shared" si="20"/>
        <v>7390.48</v>
      </c>
      <c r="U215" s="15">
        <v>7971.24</v>
      </c>
      <c r="V215" s="15">
        <v>8434.56</v>
      </c>
      <c r="W215" s="15">
        <f t="shared" si="21"/>
        <v>8202.9</v>
      </c>
      <c r="X215" s="3">
        <v>99.7</v>
      </c>
      <c r="Y215" s="38">
        <f t="shared" si="22"/>
        <v>0.997</v>
      </c>
      <c r="Z215" s="38">
        <f t="shared" si="23"/>
        <v>99.395428432953395</v>
      </c>
      <c r="AA215" s="3">
        <v>3.0333333333333332</v>
      </c>
      <c r="AB215" s="16">
        <v>5051</v>
      </c>
      <c r="AC215" s="16">
        <v>5147.24</v>
      </c>
      <c r="AD215" s="44"/>
      <c r="AE215" s="25"/>
      <c r="AF215" s="36" t="s">
        <v>10</v>
      </c>
      <c r="AG215" s="15">
        <v>8088.39</v>
      </c>
      <c r="AH215" s="2">
        <v>1</v>
      </c>
      <c r="AI215" s="2">
        <v>0</v>
      </c>
      <c r="AJ215" s="2">
        <v>0</v>
      </c>
      <c r="AK215" s="38">
        <v>99.395428432953395</v>
      </c>
      <c r="AL215" s="38">
        <v>3.0333333333333332</v>
      </c>
      <c r="AM215" s="52">
        <v>5147.24</v>
      </c>
      <c r="AN215" s="15">
        <v>8131.97</v>
      </c>
      <c r="AP215" s="36" t="s">
        <v>11</v>
      </c>
      <c r="AQ215" s="15">
        <v>8025.11</v>
      </c>
      <c r="AR215" s="2">
        <v>1</v>
      </c>
      <c r="AS215" s="2">
        <v>0</v>
      </c>
      <c r="AT215" s="2">
        <v>0</v>
      </c>
      <c r="AU215" s="3">
        <v>100.19059186041703</v>
      </c>
      <c r="AV215" s="3">
        <v>2.7666666666666662</v>
      </c>
      <c r="AW215" s="16">
        <v>5403.01</v>
      </c>
      <c r="AX215" s="15">
        <v>8088.39</v>
      </c>
    </row>
    <row r="216" spans="2:50" x14ac:dyDescent="0.25">
      <c r="B216" s="7" t="s">
        <v>11</v>
      </c>
      <c r="C216" s="3">
        <v>7642</v>
      </c>
      <c r="D216" s="3">
        <v>7861</v>
      </c>
      <c r="E216" s="3">
        <v>7443</v>
      </c>
      <c r="F216" s="15">
        <v>7555.880696854666</v>
      </c>
      <c r="G216" s="15">
        <v>7686.0020901182816</v>
      </c>
      <c r="H216" s="15">
        <f t="shared" si="18"/>
        <v>7620.9413934864733</v>
      </c>
      <c r="I216" s="3">
        <v>7571</v>
      </c>
      <c r="J216" s="3">
        <v>7333</v>
      </c>
      <c r="K216" s="3">
        <v>7402</v>
      </c>
      <c r="L216" s="3">
        <v>8791</v>
      </c>
      <c r="M216" s="15">
        <v>8025.11</v>
      </c>
      <c r="N216" s="15">
        <v>7481.42</v>
      </c>
      <c r="O216" s="15">
        <v>7365.87</v>
      </c>
      <c r="P216" s="15">
        <f t="shared" si="19"/>
        <v>7423.6450000000004</v>
      </c>
      <c r="Q216" s="15">
        <v>7288.89</v>
      </c>
      <c r="R216" s="15">
        <v>7144.01</v>
      </c>
      <c r="S216" s="15">
        <v>7617.32</v>
      </c>
      <c r="T216" s="15">
        <f t="shared" si="20"/>
        <v>7350.0733333333337</v>
      </c>
      <c r="U216" s="15">
        <v>7948.16</v>
      </c>
      <c r="V216" s="15">
        <v>8302.42</v>
      </c>
      <c r="W216" s="15">
        <f t="shared" si="21"/>
        <v>8125.29</v>
      </c>
      <c r="X216" s="3">
        <v>100.8</v>
      </c>
      <c r="Y216" s="38">
        <f t="shared" si="22"/>
        <v>1.008</v>
      </c>
      <c r="Z216" s="38">
        <f t="shared" si="23"/>
        <v>100.19059186041703</v>
      </c>
      <c r="AA216" s="3">
        <v>2.7666666666666662</v>
      </c>
      <c r="AB216" s="16">
        <v>5366</v>
      </c>
      <c r="AC216" s="16">
        <v>5403.01</v>
      </c>
      <c r="AD216" s="44">
        <v>2468</v>
      </c>
      <c r="AE216" s="25"/>
      <c r="AF216" s="36" t="s">
        <v>11</v>
      </c>
      <c r="AG216" s="15">
        <v>8025.11</v>
      </c>
      <c r="AH216" s="2">
        <v>1</v>
      </c>
      <c r="AI216" s="2">
        <v>0</v>
      </c>
      <c r="AJ216" s="2">
        <v>0</v>
      </c>
      <c r="AK216" s="38">
        <v>100.19059186041703</v>
      </c>
      <c r="AL216" s="38">
        <v>2.7666666666666662</v>
      </c>
      <c r="AM216" s="52">
        <v>5403.01</v>
      </c>
      <c r="AN216" s="15">
        <v>8088.39</v>
      </c>
      <c r="AP216" s="36" t="s">
        <v>12</v>
      </c>
      <c r="AQ216" s="15">
        <v>7829.23</v>
      </c>
      <c r="AR216" s="2">
        <v>1</v>
      </c>
      <c r="AS216" s="2">
        <v>0</v>
      </c>
      <c r="AT216" s="2">
        <v>0</v>
      </c>
      <c r="AU216" s="3">
        <v>101.1924977790212</v>
      </c>
      <c r="AV216" s="3">
        <v>2.6333333333333333</v>
      </c>
      <c r="AW216" s="16">
        <v>5600.99</v>
      </c>
      <c r="AX216" s="15">
        <v>8025.11</v>
      </c>
    </row>
    <row r="217" spans="2:50" x14ac:dyDescent="0.25">
      <c r="B217" s="7" t="s">
        <v>12</v>
      </c>
      <c r="C217" s="3">
        <v>8059</v>
      </c>
      <c r="D217" s="3">
        <v>8077</v>
      </c>
      <c r="E217" s="3">
        <v>8037</v>
      </c>
      <c r="F217" s="15">
        <v>7428.8475388316256</v>
      </c>
      <c r="G217" s="15">
        <v>7562.1147176663453</v>
      </c>
      <c r="H217" s="15">
        <f t="shared" si="18"/>
        <v>7495.4811282489854</v>
      </c>
      <c r="I217" s="3">
        <v>8188</v>
      </c>
      <c r="J217" s="3">
        <v>7858</v>
      </c>
      <c r="K217" s="3">
        <v>7800</v>
      </c>
      <c r="L217" s="3">
        <v>8743</v>
      </c>
      <c r="M217" s="15">
        <v>7829.23</v>
      </c>
      <c r="N217" s="15">
        <v>7202.05</v>
      </c>
      <c r="O217" s="15">
        <v>7221.83</v>
      </c>
      <c r="P217" s="15">
        <f t="shared" si="19"/>
        <v>7211.9400000000005</v>
      </c>
      <c r="Q217" s="15">
        <v>7250.42</v>
      </c>
      <c r="R217" s="15">
        <v>7210.86</v>
      </c>
      <c r="S217" s="15">
        <v>7379.78</v>
      </c>
      <c r="T217" s="15">
        <f t="shared" si="20"/>
        <v>7280.3533333333326</v>
      </c>
      <c r="U217" s="15">
        <v>8054.06</v>
      </c>
      <c r="V217" s="15">
        <v>8635.92</v>
      </c>
      <c r="W217" s="15">
        <f t="shared" si="21"/>
        <v>8344.99</v>
      </c>
      <c r="X217" s="3">
        <v>101</v>
      </c>
      <c r="Y217" s="38">
        <f t="shared" si="22"/>
        <v>1.01</v>
      </c>
      <c r="Z217" s="38">
        <f t="shared" si="23"/>
        <v>101.1924977790212</v>
      </c>
      <c r="AA217" s="3">
        <v>2.6333333333333333</v>
      </c>
      <c r="AB217" s="16">
        <v>4086</v>
      </c>
      <c r="AC217" s="16">
        <v>5600.99</v>
      </c>
      <c r="AD217" s="44"/>
      <c r="AE217" s="25"/>
      <c r="AF217" s="36" t="s">
        <v>12</v>
      </c>
      <c r="AG217" s="15">
        <v>7829.23</v>
      </c>
      <c r="AH217" s="2">
        <v>1</v>
      </c>
      <c r="AI217" s="2">
        <v>0</v>
      </c>
      <c r="AJ217" s="2">
        <v>0</v>
      </c>
      <c r="AK217" s="38">
        <v>101.1924977790212</v>
      </c>
      <c r="AL217" s="38">
        <v>2.6333333333333333</v>
      </c>
      <c r="AM217" s="52">
        <v>5600.99</v>
      </c>
      <c r="AN217" s="15">
        <v>8025.11</v>
      </c>
      <c r="AP217" s="36" t="s">
        <v>13</v>
      </c>
      <c r="AQ217" s="15">
        <v>7625.9</v>
      </c>
      <c r="AR217" s="2">
        <v>1</v>
      </c>
      <c r="AS217" s="2">
        <v>0</v>
      </c>
      <c r="AT217" s="2">
        <v>0</v>
      </c>
      <c r="AU217" s="3">
        <v>101.59726777013728</v>
      </c>
      <c r="AV217" s="3">
        <v>2.4333333333333336</v>
      </c>
      <c r="AW217" s="16">
        <v>5459.95</v>
      </c>
      <c r="AX217" s="15">
        <v>7829.23</v>
      </c>
    </row>
    <row r="218" spans="2:50" x14ac:dyDescent="0.25">
      <c r="B218" s="7" t="s">
        <v>13</v>
      </c>
      <c r="C218" s="3">
        <v>8073</v>
      </c>
      <c r="D218" s="3">
        <v>8155</v>
      </c>
      <c r="E218" s="3">
        <v>7974</v>
      </c>
      <c r="F218" s="15">
        <v>7820.9099008749727</v>
      </c>
      <c r="G218" s="18">
        <v>7682.5756985006947</v>
      </c>
      <c r="H218" s="15">
        <f t="shared" si="18"/>
        <v>7751.7427996878341</v>
      </c>
      <c r="I218" s="3">
        <v>8006</v>
      </c>
      <c r="J218" s="3">
        <v>7862</v>
      </c>
      <c r="K218" s="3">
        <v>7700</v>
      </c>
      <c r="L218" s="3">
        <v>9059</v>
      </c>
      <c r="M218" s="15">
        <v>7625.9</v>
      </c>
      <c r="N218" s="15">
        <v>7342.31</v>
      </c>
      <c r="O218" s="15">
        <v>7412.92</v>
      </c>
      <c r="P218" s="15">
        <f t="shared" si="19"/>
        <v>7377.6149999999998</v>
      </c>
      <c r="Q218" s="15">
        <v>7503.97</v>
      </c>
      <c r="R218" s="15">
        <v>7148.26</v>
      </c>
      <c r="S218" s="15">
        <v>7252.55</v>
      </c>
      <c r="T218" s="15">
        <f t="shared" si="20"/>
        <v>7301.5933333333332</v>
      </c>
      <c r="U218" s="15">
        <v>7900.66</v>
      </c>
      <c r="V218" s="15">
        <v>8172.9</v>
      </c>
      <c r="W218" s="15">
        <f t="shared" si="21"/>
        <v>8036.78</v>
      </c>
      <c r="X218" s="3">
        <v>100.4</v>
      </c>
      <c r="Y218" s="38">
        <f t="shared" si="22"/>
        <v>1.004</v>
      </c>
      <c r="Z218" s="38">
        <f t="shared" si="23"/>
        <v>101.59726777013728</v>
      </c>
      <c r="AA218" s="3">
        <v>2.4333333333333336</v>
      </c>
      <c r="AB218" s="16">
        <v>3606</v>
      </c>
      <c r="AC218" s="16">
        <v>5459.95</v>
      </c>
      <c r="AD218" s="44">
        <v>291</v>
      </c>
      <c r="AE218" s="25"/>
      <c r="AF218" s="36" t="s">
        <v>13</v>
      </c>
      <c r="AG218" s="15">
        <v>7625.9</v>
      </c>
      <c r="AH218" s="2">
        <v>1</v>
      </c>
      <c r="AI218" s="2">
        <v>0</v>
      </c>
      <c r="AJ218" s="2">
        <v>0</v>
      </c>
      <c r="AK218" s="38">
        <v>101.59726777013728</v>
      </c>
      <c r="AL218" s="38">
        <v>2.4333333333333336</v>
      </c>
      <c r="AM218" s="52">
        <v>5459.95</v>
      </c>
      <c r="AN218" s="15">
        <v>7829.23</v>
      </c>
      <c r="AP218" s="36" t="s">
        <v>14</v>
      </c>
      <c r="AQ218" s="15">
        <v>7988.82</v>
      </c>
      <c r="AR218" s="2">
        <v>1</v>
      </c>
      <c r="AS218" s="2">
        <v>0</v>
      </c>
      <c r="AT218" s="2">
        <v>0</v>
      </c>
      <c r="AU218" s="3">
        <v>101.19087869905673</v>
      </c>
      <c r="AV218" s="3">
        <v>2.2999999999999998</v>
      </c>
      <c r="AW218" s="16">
        <v>5412.94</v>
      </c>
      <c r="AX218" s="15">
        <v>7625.9</v>
      </c>
    </row>
    <row r="219" spans="2:50" x14ac:dyDescent="0.25">
      <c r="B219" s="7" t="s">
        <v>14</v>
      </c>
      <c r="C219" s="3">
        <v>8516</v>
      </c>
      <c r="D219" s="3">
        <v>8234</v>
      </c>
      <c r="E219" s="3">
        <v>8997</v>
      </c>
      <c r="F219" s="15">
        <v>8019.9518981478632</v>
      </c>
      <c r="G219" s="18">
        <v>7819.8559517313797</v>
      </c>
      <c r="H219" s="15">
        <f t="shared" si="18"/>
        <v>7919.903924939621</v>
      </c>
      <c r="I219" s="3">
        <v>8214</v>
      </c>
      <c r="J219" s="3">
        <v>7963</v>
      </c>
      <c r="K219" s="3">
        <v>8077</v>
      </c>
      <c r="L219" s="3">
        <v>10179</v>
      </c>
      <c r="M219" s="15">
        <v>7988.82</v>
      </c>
      <c r="N219" s="15">
        <v>7656.05</v>
      </c>
      <c r="O219" s="15">
        <v>7627.32</v>
      </c>
      <c r="P219" s="15">
        <f t="shared" si="19"/>
        <v>7641.6849999999995</v>
      </c>
      <c r="Q219" s="15">
        <v>7540.86</v>
      </c>
      <c r="R219" s="15">
        <v>7488.36</v>
      </c>
      <c r="S219" s="15">
        <v>7712.87</v>
      </c>
      <c r="T219" s="15">
        <f t="shared" si="20"/>
        <v>7580.6966666666667</v>
      </c>
      <c r="U219" s="15">
        <v>7769.63</v>
      </c>
      <c r="V219" s="15">
        <v>8342.7099999999991</v>
      </c>
      <c r="W219" s="15">
        <f t="shared" si="21"/>
        <v>8056.17</v>
      </c>
      <c r="X219" s="3">
        <v>99.6</v>
      </c>
      <c r="Y219" s="38">
        <f t="shared" si="22"/>
        <v>0.996</v>
      </c>
      <c r="Z219" s="38">
        <f t="shared" si="23"/>
        <v>101.19087869905673</v>
      </c>
      <c r="AA219" s="3">
        <v>2.2999999999999998</v>
      </c>
      <c r="AB219" s="16">
        <v>4822</v>
      </c>
      <c r="AC219" s="16">
        <v>5412.94</v>
      </c>
      <c r="AD219" s="44"/>
      <c r="AE219" s="25"/>
      <c r="AF219" s="36" t="s">
        <v>14</v>
      </c>
      <c r="AG219" s="15">
        <v>7988.82</v>
      </c>
      <c r="AH219" s="2">
        <v>1</v>
      </c>
      <c r="AI219" s="2">
        <v>0</v>
      </c>
      <c r="AJ219" s="2">
        <v>0</v>
      </c>
      <c r="AK219" s="38">
        <v>101.19087869905673</v>
      </c>
      <c r="AL219" s="38">
        <v>2.2999999999999998</v>
      </c>
      <c r="AM219" s="52">
        <v>5412.94</v>
      </c>
      <c r="AN219" s="15">
        <v>7625.9</v>
      </c>
      <c r="AP219" s="36" t="s">
        <v>15</v>
      </c>
      <c r="AQ219" s="15">
        <v>7865.69</v>
      </c>
      <c r="AR219" s="2">
        <v>1</v>
      </c>
      <c r="AS219" s="2">
        <v>0</v>
      </c>
      <c r="AT219" s="2">
        <v>0</v>
      </c>
      <c r="AU219" s="3">
        <v>102.30397836474634</v>
      </c>
      <c r="AV219" s="3">
        <v>2.0666666666666669</v>
      </c>
      <c r="AW219" s="16">
        <v>5800.4</v>
      </c>
      <c r="AX219" s="15">
        <v>7988.82</v>
      </c>
    </row>
    <row r="220" spans="2:50" x14ac:dyDescent="0.25">
      <c r="B220" s="7" t="s">
        <v>15</v>
      </c>
      <c r="C220" s="3">
        <v>8162</v>
      </c>
      <c r="D220" s="3">
        <v>8174</v>
      </c>
      <c r="E220" s="3">
        <v>8134</v>
      </c>
      <c r="F220" s="15">
        <v>8053.8542169177454</v>
      </c>
      <c r="G220" s="15">
        <v>7750.8802709953743</v>
      </c>
      <c r="H220" s="15">
        <f t="shared" si="18"/>
        <v>7902.3672439565598</v>
      </c>
      <c r="I220" s="3">
        <v>8428</v>
      </c>
      <c r="J220" s="3">
        <v>8049</v>
      </c>
      <c r="K220" s="3">
        <v>7828</v>
      </c>
      <c r="L220" s="3">
        <v>8513</v>
      </c>
      <c r="M220" s="15">
        <v>7865.69</v>
      </c>
      <c r="N220" s="15">
        <v>7555.19</v>
      </c>
      <c r="O220" s="15">
        <v>7890.68</v>
      </c>
      <c r="P220" s="15">
        <f t="shared" si="19"/>
        <v>7722.9349999999995</v>
      </c>
      <c r="Q220" s="15">
        <v>7664.96</v>
      </c>
      <c r="R220" s="15">
        <v>7533.61</v>
      </c>
      <c r="S220" s="15">
        <v>7830.49</v>
      </c>
      <c r="T220" s="15">
        <f t="shared" si="20"/>
        <v>7676.3533333333326</v>
      </c>
      <c r="U220" s="15">
        <v>7798.08</v>
      </c>
      <c r="V220" s="15">
        <v>8739.7000000000007</v>
      </c>
      <c r="W220" s="15">
        <f t="shared" si="21"/>
        <v>8268.89</v>
      </c>
      <c r="X220" s="3">
        <v>101.1</v>
      </c>
      <c r="Y220" s="38">
        <f t="shared" si="22"/>
        <v>1.0109999999999999</v>
      </c>
      <c r="Z220" s="38">
        <f t="shared" si="23"/>
        <v>102.30397836474634</v>
      </c>
      <c r="AA220" s="3">
        <v>2.0666666666666669</v>
      </c>
      <c r="AB220" s="16">
        <v>7817</v>
      </c>
      <c r="AC220" s="16">
        <v>5800.4</v>
      </c>
      <c r="AD220" s="44">
        <v>2197</v>
      </c>
      <c r="AE220" s="25"/>
      <c r="AF220" s="36" t="s">
        <v>15</v>
      </c>
      <c r="AG220" s="15">
        <v>7865.69</v>
      </c>
      <c r="AH220" s="2">
        <v>1</v>
      </c>
      <c r="AI220" s="2">
        <v>0</v>
      </c>
      <c r="AJ220" s="2">
        <v>0</v>
      </c>
      <c r="AK220" s="38">
        <v>102.30397836474634</v>
      </c>
      <c r="AL220" s="38">
        <v>2.0666666666666669</v>
      </c>
      <c r="AM220" s="52">
        <v>5800.4</v>
      </c>
      <c r="AN220" s="15">
        <v>7988.82</v>
      </c>
      <c r="AP220" s="36" t="s">
        <v>16</v>
      </c>
      <c r="AQ220" s="15">
        <v>8881.44</v>
      </c>
      <c r="AR220" s="2">
        <v>1</v>
      </c>
      <c r="AS220" s="2">
        <v>0</v>
      </c>
      <c r="AT220" s="2">
        <v>0</v>
      </c>
      <c r="AU220" s="3">
        <v>102.71319427820532</v>
      </c>
      <c r="AV220" s="3">
        <v>1.9666666666666668</v>
      </c>
      <c r="AW220" s="16">
        <v>5973.72</v>
      </c>
      <c r="AX220" s="15">
        <v>7865.69</v>
      </c>
    </row>
    <row r="221" spans="2:50" x14ac:dyDescent="0.25">
      <c r="B221" s="7" t="s">
        <v>16</v>
      </c>
      <c r="C221" s="15"/>
      <c r="D221" s="15"/>
      <c r="E221" s="15"/>
      <c r="F221" s="15">
        <v>8057.0079999999998</v>
      </c>
      <c r="G221" s="15">
        <v>7965.1721336855526</v>
      </c>
      <c r="H221" s="15">
        <f t="shared" si="18"/>
        <v>8011.0900668427767</v>
      </c>
      <c r="I221" s="15"/>
      <c r="J221" s="15"/>
      <c r="K221" s="15"/>
      <c r="L221" s="15"/>
      <c r="M221" s="15">
        <v>8881.44</v>
      </c>
      <c r="N221" s="15">
        <v>7976.17</v>
      </c>
      <c r="O221" s="15">
        <v>8178.98</v>
      </c>
      <c r="P221" s="15">
        <f t="shared" si="19"/>
        <v>8077.5749999999998</v>
      </c>
      <c r="Q221" s="15">
        <v>7983.01</v>
      </c>
      <c r="R221" s="15">
        <v>8009.34</v>
      </c>
      <c r="S221" s="15">
        <v>8085.79</v>
      </c>
      <c r="T221" s="15">
        <f t="shared" si="20"/>
        <v>8026.0466666666662</v>
      </c>
      <c r="U221" s="15">
        <v>8601.9500000000007</v>
      </c>
      <c r="V221" s="15">
        <v>8467.66</v>
      </c>
      <c r="W221" s="15">
        <f t="shared" si="21"/>
        <v>8534.8050000000003</v>
      </c>
      <c r="X221" s="3">
        <v>100.4</v>
      </c>
      <c r="Y221" s="38">
        <f t="shared" si="22"/>
        <v>1.004</v>
      </c>
      <c r="Z221" s="38">
        <f t="shared" si="23"/>
        <v>102.71319427820532</v>
      </c>
      <c r="AA221" s="3">
        <v>1.9666666666666668</v>
      </c>
      <c r="AB221" s="15"/>
      <c r="AC221" s="16">
        <v>5973.72</v>
      </c>
      <c r="AD221" s="44"/>
      <c r="AE221" s="25"/>
      <c r="AF221" s="36" t="s">
        <v>16</v>
      </c>
      <c r="AG221" s="15">
        <v>8881.44</v>
      </c>
      <c r="AH221" s="2">
        <v>1</v>
      </c>
      <c r="AI221" s="2">
        <v>0</v>
      </c>
      <c r="AJ221" s="2">
        <v>0</v>
      </c>
      <c r="AK221" s="38">
        <v>102.71319427820532</v>
      </c>
      <c r="AL221" s="38">
        <v>1.9666666666666668</v>
      </c>
      <c r="AM221" s="52">
        <v>5973.72</v>
      </c>
      <c r="AN221" s="15">
        <v>7865.69</v>
      </c>
      <c r="AP221" s="36" t="s">
        <v>17</v>
      </c>
      <c r="AQ221" s="15">
        <v>8852.2199999999993</v>
      </c>
      <c r="AR221" s="2">
        <v>1</v>
      </c>
      <c r="AS221" s="2">
        <v>0</v>
      </c>
      <c r="AT221" s="2">
        <v>0</v>
      </c>
      <c r="AU221" s="3">
        <v>103.32947344387455</v>
      </c>
      <c r="AV221" s="3">
        <v>1.7666666666666666</v>
      </c>
      <c r="AW221" s="16">
        <v>5817.31</v>
      </c>
      <c r="AX221" s="15">
        <v>8881.44</v>
      </c>
    </row>
    <row r="222" spans="2:50" x14ac:dyDescent="0.25">
      <c r="B222" s="7" t="s">
        <v>17</v>
      </c>
      <c r="C222" s="15"/>
      <c r="D222" s="15"/>
      <c r="E222" s="15"/>
      <c r="F222" s="15">
        <v>8319.7019999999993</v>
      </c>
      <c r="G222" s="15">
        <v>8186.4066123444927</v>
      </c>
      <c r="H222" s="15">
        <f t="shared" si="18"/>
        <v>8253.0543061722456</v>
      </c>
      <c r="I222" s="15"/>
      <c r="J222" s="15"/>
      <c r="K222" s="15"/>
      <c r="L222" s="15"/>
      <c r="M222" s="15">
        <v>8852.2199999999993</v>
      </c>
      <c r="N222" s="15">
        <v>8215.48</v>
      </c>
      <c r="O222" s="15">
        <v>8039.32</v>
      </c>
      <c r="P222" s="15">
        <f t="shared" si="19"/>
        <v>8127.4</v>
      </c>
      <c r="Q222" s="15">
        <v>7858.38</v>
      </c>
      <c r="R222" s="15">
        <v>7972.37</v>
      </c>
      <c r="S222" s="15">
        <v>8126.12</v>
      </c>
      <c r="T222" s="15">
        <f t="shared" si="20"/>
        <v>7985.623333333333</v>
      </c>
      <c r="U222" s="15">
        <v>9164.83</v>
      </c>
      <c r="V222" s="15">
        <v>9085.36</v>
      </c>
      <c r="W222" s="15">
        <f t="shared" si="21"/>
        <v>9125.0950000000012</v>
      </c>
      <c r="X222" s="3">
        <v>100.6</v>
      </c>
      <c r="Y222" s="38">
        <f t="shared" si="22"/>
        <v>1.006</v>
      </c>
      <c r="Z222" s="38">
        <f t="shared" si="23"/>
        <v>103.32947344387455</v>
      </c>
      <c r="AA222" s="3">
        <v>1.7666666666666666</v>
      </c>
      <c r="AB222" s="15"/>
      <c r="AC222" s="16">
        <v>5817.31</v>
      </c>
      <c r="AD222" s="44">
        <v>523</v>
      </c>
      <c r="AE222" s="25"/>
      <c r="AF222" s="36" t="s">
        <v>17</v>
      </c>
      <c r="AG222" s="15">
        <v>8852.2199999999993</v>
      </c>
      <c r="AH222" s="2">
        <v>1</v>
      </c>
      <c r="AI222" s="2">
        <v>0</v>
      </c>
      <c r="AJ222" s="2">
        <v>0</v>
      </c>
      <c r="AK222" s="38">
        <v>103.32947344387455</v>
      </c>
      <c r="AL222" s="38">
        <v>1.7666666666666666</v>
      </c>
      <c r="AM222" s="52">
        <v>5817.31</v>
      </c>
      <c r="AN222" s="15">
        <v>8881.44</v>
      </c>
      <c r="AP222" s="36" t="s">
        <v>18</v>
      </c>
      <c r="AQ222" s="15">
        <v>8981.01</v>
      </c>
      <c r="AR222" s="2">
        <v>1</v>
      </c>
      <c r="AS222" s="2">
        <v>0</v>
      </c>
      <c r="AT222" s="2">
        <v>0</v>
      </c>
      <c r="AU222" s="3">
        <v>103.12281449698681</v>
      </c>
      <c r="AV222" s="3">
        <v>1.6666666666666667</v>
      </c>
      <c r="AW222" s="16">
        <v>5788.92</v>
      </c>
      <c r="AX222" s="15">
        <v>8852.2199999999993</v>
      </c>
    </row>
    <row r="223" spans="2:50" x14ac:dyDescent="0.25">
      <c r="B223" s="7" t="s">
        <v>18</v>
      </c>
      <c r="C223" s="15"/>
      <c r="D223" s="15"/>
      <c r="E223" s="15"/>
      <c r="F223" s="15">
        <v>8242.8960000000006</v>
      </c>
      <c r="G223" s="15">
        <v>8560.2171808283383</v>
      </c>
      <c r="H223" s="15">
        <f t="shared" si="18"/>
        <v>8401.5565904141695</v>
      </c>
      <c r="I223" s="15"/>
      <c r="J223" s="15"/>
      <c r="K223" s="15"/>
      <c r="L223" s="15"/>
      <c r="M223" s="15">
        <v>8981.01</v>
      </c>
      <c r="N223" s="15">
        <v>8397.7800000000007</v>
      </c>
      <c r="O223" s="15">
        <v>8195.83</v>
      </c>
      <c r="P223" s="15">
        <f t="shared" si="19"/>
        <v>8296.8050000000003</v>
      </c>
      <c r="Q223" s="15">
        <v>7820.52</v>
      </c>
      <c r="R223" s="15">
        <v>8001.85</v>
      </c>
      <c r="S223" s="15">
        <v>8066.57</v>
      </c>
      <c r="T223" s="15">
        <f t="shared" si="20"/>
        <v>7962.9800000000005</v>
      </c>
      <c r="U223" s="15">
        <v>8929.7800000000007</v>
      </c>
      <c r="V223" s="15">
        <v>9032.85</v>
      </c>
      <c r="W223" s="15">
        <f t="shared" si="21"/>
        <v>8981.3150000000005</v>
      </c>
      <c r="X223" s="3">
        <v>99.8</v>
      </c>
      <c r="Y223" s="38">
        <f t="shared" si="22"/>
        <v>0.998</v>
      </c>
      <c r="Z223" s="38">
        <f t="shared" si="23"/>
        <v>103.12281449698681</v>
      </c>
      <c r="AA223" s="3">
        <v>1.6666666666666667</v>
      </c>
      <c r="AB223" s="15"/>
      <c r="AC223" s="16">
        <v>5788.92</v>
      </c>
      <c r="AD223" s="44"/>
      <c r="AE223" s="25"/>
      <c r="AF223" s="36" t="s">
        <v>18</v>
      </c>
      <c r="AG223" s="15">
        <v>8981.01</v>
      </c>
      <c r="AH223" s="2">
        <v>1</v>
      </c>
      <c r="AI223" s="2">
        <v>0</v>
      </c>
      <c r="AJ223" s="2">
        <v>0</v>
      </c>
      <c r="AK223" s="38">
        <v>103.12281449698681</v>
      </c>
      <c r="AL223" s="38">
        <v>1.6666666666666667</v>
      </c>
      <c r="AM223" s="52">
        <v>5788.92</v>
      </c>
      <c r="AN223" s="15">
        <v>8852.2199999999993</v>
      </c>
      <c r="AP223" s="36" t="s">
        <v>19</v>
      </c>
      <c r="AQ223" s="15">
        <v>8999.6</v>
      </c>
      <c r="AR223" s="2">
        <v>1</v>
      </c>
      <c r="AS223" s="2">
        <v>0</v>
      </c>
      <c r="AT223" s="2">
        <v>0</v>
      </c>
      <c r="AU223" s="3">
        <v>103.74155138396873</v>
      </c>
      <c r="AV223" s="3">
        <v>1.5</v>
      </c>
      <c r="AW223" s="16">
        <v>6131.29</v>
      </c>
      <c r="AX223" s="15">
        <v>8981.01</v>
      </c>
    </row>
    <row r="224" spans="2:50" x14ac:dyDescent="0.25">
      <c r="B224" s="7" t="s">
        <v>19</v>
      </c>
      <c r="C224" s="15"/>
      <c r="D224" s="15"/>
      <c r="E224" s="15"/>
      <c r="F224" s="15">
        <v>8258.9519999999993</v>
      </c>
      <c r="G224" s="15">
        <v>8572.5028935265345</v>
      </c>
      <c r="H224" s="15">
        <f t="shared" si="18"/>
        <v>8415.7274467632669</v>
      </c>
      <c r="I224" s="15"/>
      <c r="J224" s="15"/>
      <c r="K224" s="15"/>
      <c r="L224" s="15"/>
      <c r="M224" s="15">
        <v>8999.6</v>
      </c>
      <c r="N224" s="15">
        <v>8388.2199999999993</v>
      </c>
      <c r="O224" s="15">
        <v>8443.0300000000007</v>
      </c>
      <c r="P224" s="15">
        <f t="shared" si="19"/>
        <v>8415.625</v>
      </c>
      <c r="Q224" s="15">
        <v>8167.02</v>
      </c>
      <c r="R224" s="15">
        <v>8060.21</v>
      </c>
      <c r="S224" s="15">
        <v>8121</v>
      </c>
      <c r="T224" s="15">
        <f t="shared" si="20"/>
        <v>8116.0766666666668</v>
      </c>
      <c r="U224" s="15">
        <v>8809.81</v>
      </c>
      <c r="V224" s="15">
        <v>9513.67</v>
      </c>
      <c r="W224" s="15">
        <f t="shared" si="21"/>
        <v>9161.74</v>
      </c>
      <c r="X224" s="3">
        <v>100.6</v>
      </c>
      <c r="Y224" s="50">
        <f t="shared" si="22"/>
        <v>1.006</v>
      </c>
      <c r="Z224" s="38">
        <f t="shared" si="23"/>
        <v>103.74155138396873</v>
      </c>
      <c r="AA224" s="3">
        <v>1.5</v>
      </c>
      <c r="AB224" s="15"/>
      <c r="AC224" s="16">
        <v>6131.29</v>
      </c>
      <c r="AD224" s="44">
        <v>0</v>
      </c>
      <c r="AE224" s="25"/>
      <c r="AF224" s="36" t="s">
        <v>19</v>
      </c>
      <c r="AG224" s="15">
        <v>8999.6</v>
      </c>
      <c r="AH224" s="2">
        <v>1</v>
      </c>
      <c r="AI224" s="2">
        <v>0</v>
      </c>
      <c r="AJ224" s="2">
        <v>0</v>
      </c>
      <c r="AK224" s="38">
        <v>103.74155138396873</v>
      </c>
      <c r="AL224" s="38">
        <v>1.5</v>
      </c>
      <c r="AM224" s="52">
        <v>6131.29</v>
      </c>
      <c r="AN224" s="15">
        <v>8981.01</v>
      </c>
      <c r="AP224" s="36" t="s">
        <v>4</v>
      </c>
      <c r="AQ224" s="15">
        <v>7295.7250000000004</v>
      </c>
      <c r="AR224" s="2">
        <v>0</v>
      </c>
      <c r="AS224" s="30">
        <v>1</v>
      </c>
      <c r="AT224" s="2">
        <v>0</v>
      </c>
      <c r="AU224" s="3">
        <v>100</v>
      </c>
      <c r="AV224" s="3">
        <v>4.2333333333333334</v>
      </c>
      <c r="AW224" s="16">
        <v>5267.32</v>
      </c>
      <c r="AX224" s="15">
        <v>8999.6</v>
      </c>
    </row>
    <row r="225" spans="2:50" x14ac:dyDescent="0.25">
      <c r="B225" s="24" t="s">
        <v>4</v>
      </c>
      <c r="X225" s="1">
        <v>100.2</v>
      </c>
      <c r="Y225" s="50">
        <f t="shared" si="22"/>
        <v>1.002</v>
      </c>
      <c r="Z225" s="38">
        <f t="shared" si="23"/>
        <v>103.94903448673666</v>
      </c>
      <c r="AF225" s="36" t="s">
        <v>4</v>
      </c>
      <c r="AG225" s="15">
        <v>7295.7250000000004</v>
      </c>
      <c r="AH225" s="2">
        <v>0</v>
      </c>
      <c r="AI225" s="30">
        <v>1</v>
      </c>
      <c r="AJ225" s="2">
        <v>0</v>
      </c>
      <c r="AK225" s="38">
        <v>100</v>
      </c>
      <c r="AL225" s="38">
        <v>4.2333333333333334</v>
      </c>
      <c r="AM225" s="52">
        <v>5267.32</v>
      </c>
      <c r="AN225" s="15">
        <v>8999.6</v>
      </c>
      <c r="AP225" s="36" t="s">
        <v>5</v>
      </c>
      <c r="AQ225" s="15">
        <v>7377.2550000000001</v>
      </c>
      <c r="AR225" s="2">
        <v>0</v>
      </c>
      <c r="AS225" s="30">
        <v>1</v>
      </c>
      <c r="AT225" s="2">
        <v>0</v>
      </c>
      <c r="AU225" s="3">
        <v>100.49999999999999</v>
      </c>
      <c r="AV225" s="3">
        <v>3.9666666666666663</v>
      </c>
      <c r="AW225" s="16">
        <v>5036.68</v>
      </c>
      <c r="AX225" s="15">
        <v>7295.7250000000004</v>
      </c>
    </row>
    <row r="226" spans="2:50" x14ac:dyDescent="0.25">
      <c r="B226" s="24" t="s">
        <v>5</v>
      </c>
      <c r="AF226" s="36" t="s">
        <v>5</v>
      </c>
      <c r="AG226" s="15">
        <v>7377.2550000000001</v>
      </c>
      <c r="AH226" s="2">
        <v>0</v>
      </c>
      <c r="AI226" s="30">
        <v>1</v>
      </c>
      <c r="AJ226" s="2">
        <v>0</v>
      </c>
      <c r="AK226" s="38">
        <v>100.49999999999999</v>
      </c>
      <c r="AL226" s="38">
        <v>3.9666666666666663</v>
      </c>
      <c r="AM226" s="52">
        <v>5036.68</v>
      </c>
      <c r="AN226" s="15">
        <v>7295.7250000000004</v>
      </c>
      <c r="AP226" s="36" t="s">
        <v>6</v>
      </c>
      <c r="AQ226" s="15">
        <v>7272.625</v>
      </c>
      <c r="AR226" s="2">
        <v>0</v>
      </c>
      <c r="AS226" s="30">
        <v>1</v>
      </c>
      <c r="AT226" s="2">
        <v>0</v>
      </c>
      <c r="AU226" s="3">
        <v>100.09799999999998</v>
      </c>
      <c r="AV226" s="3">
        <v>3.7666666666666671</v>
      </c>
      <c r="AW226" s="16">
        <v>5002.71</v>
      </c>
      <c r="AX226" s="15">
        <v>7377.2550000000001</v>
      </c>
    </row>
    <row r="227" spans="2:50" x14ac:dyDescent="0.25">
      <c r="B227" s="24" t="s">
        <v>6</v>
      </c>
      <c r="AF227" s="36" t="s">
        <v>6</v>
      </c>
      <c r="AG227" s="15">
        <v>7272.625</v>
      </c>
      <c r="AH227" s="2">
        <v>0</v>
      </c>
      <c r="AI227" s="30">
        <v>1</v>
      </c>
      <c r="AJ227" s="2">
        <v>0</v>
      </c>
      <c r="AK227" s="38">
        <v>100.09799999999998</v>
      </c>
      <c r="AL227" s="38">
        <v>3.7666666666666671</v>
      </c>
      <c r="AM227" s="52">
        <v>5002.71</v>
      </c>
      <c r="AN227" s="15">
        <v>7377.2550000000001</v>
      </c>
      <c r="AP227" s="36" t="s">
        <v>7</v>
      </c>
      <c r="AQ227" s="15">
        <v>7066.26</v>
      </c>
      <c r="AR227" s="2">
        <v>0</v>
      </c>
      <c r="AS227" s="30">
        <v>1</v>
      </c>
      <c r="AT227" s="2">
        <v>0</v>
      </c>
      <c r="AU227" s="3">
        <v>99.897803999999979</v>
      </c>
      <c r="AV227" s="3">
        <v>3.4666666666666663</v>
      </c>
      <c r="AW227" s="16">
        <v>5231.3</v>
      </c>
      <c r="AX227" s="15">
        <v>7272.625</v>
      </c>
    </row>
    <row r="228" spans="2:50" x14ac:dyDescent="0.25">
      <c r="B228" s="24" t="s">
        <v>7</v>
      </c>
      <c r="AF228" s="36" t="s">
        <v>7</v>
      </c>
      <c r="AG228" s="15">
        <v>7066.26</v>
      </c>
      <c r="AH228" s="2">
        <v>0</v>
      </c>
      <c r="AI228" s="30">
        <v>1</v>
      </c>
      <c r="AJ228" s="2">
        <v>0</v>
      </c>
      <c r="AK228" s="38">
        <v>99.897803999999979</v>
      </c>
      <c r="AL228" s="38">
        <v>3.4666666666666663</v>
      </c>
      <c r="AM228" s="52">
        <v>5231.3</v>
      </c>
      <c r="AN228" s="15">
        <v>7272.625</v>
      </c>
      <c r="AP228" s="36" t="s">
        <v>8</v>
      </c>
      <c r="AQ228" s="15">
        <v>7237.9750000000004</v>
      </c>
      <c r="AR228" s="2">
        <v>0</v>
      </c>
      <c r="AS228" s="30">
        <v>1</v>
      </c>
      <c r="AT228" s="2">
        <v>0</v>
      </c>
      <c r="AU228" s="3">
        <v>99.198519371999978</v>
      </c>
      <c r="AV228" s="3">
        <v>3.3666666666666667</v>
      </c>
      <c r="AW228" s="16">
        <v>5435.95</v>
      </c>
      <c r="AX228" s="15">
        <v>7066.26</v>
      </c>
    </row>
    <row r="229" spans="2:50" x14ac:dyDescent="0.25">
      <c r="B229" s="24" t="s">
        <v>8</v>
      </c>
      <c r="AF229" s="36" t="s">
        <v>8</v>
      </c>
      <c r="AG229" s="15">
        <v>7237.9750000000004</v>
      </c>
      <c r="AH229" s="2">
        <v>0</v>
      </c>
      <c r="AI229" s="30">
        <v>1</v>
      </c>
      <c r="AJ229" s="2">
        <v>0</v>
      </c>
      <c r="AK229" s="38">
        <v>99.198519371999978</v>
      </c>
      <c r="AL229" s="38">
        <v>3.3666666666666667</v>
      </c>
      <c r="AM229" s="52">
        <v>5435.95</v>
      </c>
      <c r="AN229" s="15">
        <v>7066.26</v>
      </c>
      <c r="AP229" s="36" t="s">
        <v>9</v>
      </c>
      <c r="AQ229" s="15">
        <v>7504.75</v>
      </c>
      <c r="AR229" s="2">
        <v>0</v>
      </c>
      <c r="AS229" s="30">
        <v>1</v>
      </c>
      <c r="AT229" s="2">
        <v>0</v>
      </c>
      <c r="AU229" s="3">
        <v>99.69451196885997</v>
      </c>
      <c r="AV229" s="3">
        <v>3.1999999999999997</v>
      </c>
      <c r="AW229" s="16">
        <v>5215.26</v>
      </c>
      <c r="AX229" s="15">
        <v>7237.9750000000004</v>
      </c>
    </row>
    <row r="230" spans="2:50" x14ac:dyDescent="0.25">
      <c r="B230" s="24" t="s">
        <v>9</v>
      </c>
      <c r="AF230" s="36" t="s">
        <v>9</v>
      </c>
      <c r="AG230" s="15">
        <v>7504.75</v>
      </c>
      <c r="AH230" s="2">
        <v>0</v>
      </c>
      <c r="AI230" s="30">
        <v>1</v>
      </c>
      <c r="AJ230" s="2">
        <v>0</v>
      </c>
      <c r="AK230" s="38">
        <v>99.69451196885997</v>
      </c>
      <c r="AL230" s="38">
        <v>3.1999999999999997</v>
      </c>
      <c r="AM230" s="52">
        <v>5215.26</v>
      </c>
      <c r="AN230" s="15">
        <v>7237.9750000000004</v>
      </c>
      <c r="AP230" s="36" t="s">
        <v>10</v>
      </c>
      <c r="AQ230" s="15">
        <v>7340.4050000000007</v>
      </c>
      <c r="AR230" s="2">
        <v>0</v>
      </c>
      <c r="AS230" s="30">
        <v>1</v>
      </c>
      <c r="AT230" s="2">
        <v>0</v>
      </c>
      <c r="AU230" s="3">
        <v>99.395428432953395</v>
      </c>
      <c r="AV230" s="3">
        <v>3.0333333333333332</v>
      </c>
      <c r="AW230" s="16">
        <v>5147.24</v>
      </c>
      <c r="AX230" s="15">
        <v>7504.75</v>
      </c>
    </row>
    <row r="231" spans="2:50" x14ac:dyDescent="0.25">
      <c r="B231" s="24" t="s">
        <v>10</v>
      </c>
      <c r="AF231" s="36" t="s">
        <v>10</v>
      </c>
      <c r="AG231" s="15">
        <v>7340.4050000000007</v>
      </c>
      <c r="AH231" s="2">
        <v>0</v>
      </c>
      <c r="AI231" s="30">
        <v>1</v>
      </c>
      <c r="AJ231" s="2">
        <v>0</v>
      </c>
      <c r="AK231" s="38">
        <v>99.395428432953395</v>
      </c>
      <c r="AL231" s="38">
        <v>3.0333333333333332</v>
      </c>
      <c r="AM231" s="52">
        <v>5147.24</v>
      </c>
      <c r="AN231" s="15">
        <v>7504.75</v>
      </c>
      <c r="AP231" s="36" t="s">
        <v>11</v>
      </c>
      <c r="AQ231" s="15">
        <v>7423.6450000000004</v>
      </c>
      <c r="AR231" s="2">
        <v>0</v>
      </c>
      <c r="AS231" s="30">
        <v>1</v>
      </c>
      <c r="AT231" s="2">
        <v>0</v>
      </c>
      <c r="AU231" s="3">
        <v>100.19059186041703</v>
      </c>
      <c r="AV231" s="3">
        <v>2.7666666666666662</v>
      </c>
      <c r="AW231" s="16">
        <v>5403.01</v>
      </c>
      <c r="AX231" s="15">
        <v>7340.4050000000007</v>
      </c>
    </row>
    <row r="232" spans="2:50" x14ac:dyDescent="0.25">
      <c r="B232" s="24" t="s">
        <v>11</v>
      </c>
      <c r="AF232" s="36" t="s">
        <v>11</v>
      </c>
      <c r="AG232" s="15">
        <v>7423.6450000000004</v>
      </c>
      <c r="AH232" s="2">
        <v>0</v>
      </c>
      <c r="AI232" s="30">
        <v>1</v>
      </c>
      <c r="AJ232" s="2">
        <v>0</v>
      </c>
      <c r="AK232" s="38">
        <v>100.19059186041703</v>
      </c>
      <c r="AL232" s="38">
        <v>2.7666666666666662</v>
      </c>
      <c r="AM232" s="52">
        <v>5403.01</v>
      </c>
      <c r="AN232" s="15">
        <v>7340.4050000000007</v>
      </c>
      <c r="AP232" s="36" t="s">
        <v>12</v>
      </c>
      <c r="AQ232" s="15">
        <v>7211.9400000000005</v>
      </c>
      <c r="AR232" s="2">
        <v>0</v>
      </c>
      <c r="AS232" s="30">
        <v>1</v>
      </c>
      <c r="AT232" s="2">
        <v>0</v>
      </c>
      <c r="AU232" s="3">
        <v>101.1924977790212</v>
      </c>
      <c r="AV232" s="3">
        <v>2.6333333333333333</v>
      </c>
      <c r="AW232" s="16">
        <v>5600.99</v>
      </c>
      <c r="AX232" s="15">
        <v>7423.6450000000004</v>
      </c>
    </row>
    <row r="233" spans="2:50" x14ac:dyDescent="0.25">
      <c r="B233" s="24" t="s">
        <v>12</v>
      </c>
      <c r="AF233" s="36" t="s">
        <v>12</v>
      </c>
      <c r="AG233" s="15">
        <v>7211.9400000000005</v>
      </c>
      <c r="AH233" s="2">
        <v>0</v>
      </c>
      <c r="AI233" s="30">
        <v>1</v>
      </c>
      <c r="AJ233" s="2">
        <v>0</v>
      </c>
      <c r="AK233" s="38">
        <v>101.1924977790212</v>
      </c>
      <c r="AL233" s="38">
        <v>2.6333333333333333</v>
      </c>
      <c r="AM233" s="52">
        <v>5600.99</v>
      </c>
      <c r="AN233" s="15">
        <v>7423.6450000000004</v>
      </c>
      <c r="AP233" s="36" t="s">
        <v>13</v>
      </c>
      <c r="AQ233" s="15">
        <v>7377.6149999999998</v>
      </c>
      <c r="AR233" s="2">
        <v>0</v>
      </c>
      <c r="AS233" s="30">
        <v>1</v>
      </c>
      <c r="AT233" s="2">
        <v>0</v>
      </c>
      <c r="AU233" s="3">
        <v>101.59726777013728</v>
      </c>
      <c r="AV233" s="3">
        <v>2.4333333333333336</v>
      </c>
      <c r="AW233" s="16">
        <v>5459.95</v>
      </c>
      <c r="AX233" s="15">
        <v>7211.9400000000005</v>
      </c>
    </row>
    <row r="234" spans="2:50" x14ac:dyDescent="0.25">
      <c r="B234" s="24" t="s">
        <v>13</v>
      </c>
      <c r="AF234" s="36" t="s">
        <v>13</v>
      </c>
      <c r="AG234" s="15">
        <v>7377.6149999999998</v>
      </c>
      <c r="AH234" s="2">
        <v>0</v>
      </c>
      <c r="AI234" s="30">
        <v>1</v>
      </c>
      <c r="AJ234" s="2">
        <v>0</v>
      </c>
      <c r="AK234" s="38">
        <v>101.59726777013728</v>
      </c>
      <c r="AL234" s="38">
        <v>2.4333333333333336</v>
      </c>
      <c r="AM234" s="52">
        <v>5459.95</v>
      </c>
      <c r="AN234" s="15">
        <v>7211.9400000000005</v>
      </c>
      <c r="AP234" s="36" t="s">
        <v>14</v>
      </c>
      <c r="AQ234" s="15">
        <v>7641.6849999999995</v>
      </c>
      <c r="AR234" s="2">
        <v>0</v>
      </c>
      <c r="AS234" s="30">
        <v>1</v>
      </c>
      <c r="AT234" s="2">
        <v>0</v>
      </c>
      <c r="AU234" s="3">
        <v>101.19087869905673</v>
      </c>
      <c r="AV234" s="3">
        <v>2.2999999999999998</v>
      </c>
      <c r="AW234" s="16">
        <v>5412.94</v>
      </c>
      <c r="AX234" s="15">
        <v>7377.6149999999998</v>
      </c>
    </row>
    <row r="235" spans="2:50" x14ac:dyDescent="0.25">
      <c r="B235" s="24" t="s">
        <v>14</v>
      </c>
      <c r="AF235" s="36" t="s">
        <v>14</v>
      </c>
      <c r="AG235" s="15">
        <v>7641.6849999999995</v>
      </c>
      <c r="AH235" s="2">
        <v>0</v>
      </c>
      <c r="AI235" s="30">
        <v>1</v>
      </c>
      <c r="AJ235" s="2">
        <v>0</v>
      </c>
      <c r="AK235" s="38">
        <v>101.19087869905673</v>
      </c>
      <c r="AL235" s="38">
        <v>2.2999999999999998</v>
      </c>
      <c r="AM235" s="52">
        <v>5412.94</v>
      </c>
      <c r="AN235" s="15">
        <v>7377.6149999999998</v>
      </c>
      <c r="AP235" s="36" t="s">
        <v>15</v>
      </c>
      <c r="AQ235" s="15">
        <v>7722.9349999999995</v>
      </c>
      <c r="AR235" s="2">
        <v>0</v>
      </c>
      <c r="AS235" s="30">
        <v>1</v>
      </c>
      <c r="AT235" s="2">
        <v>0</v>
      </c>
      <c r="AU235" s="3">
        <v>102.30397836474634</v>
      </c>
      <c r="AV235" s="3">
        <v>2.0666666666666669</v>
      </c>
      <c r="AW235" s="16">
        <v>5800.4</v>
      </c>
      <c r="AX235" s="15">
        <v>7641.6849999999995</v>
      </c>
    </row>
    <row r="236" spans="2:50" x14ac:dyDescent="0.25">
      <c r="B236" s="24" t="s">
        <v>15</v>
      </c>
      <c r="AF236" s="36" t="s">
        <v>15</v>
      </c>
      <c r="AG236" s="15">
        <v>7722.9349999999995</v>
      </c>
      <c r="AH236" s="2">
        <v>0</v>
      </c>
      <c r="AI236" s="30">
        <v>1</v>
      </c>
      <c r="AJ236" s="2">
        <v>0</v>
      </c>
      <c r="AK236" s="38">
        <v>102.30397836474634</v>
      </c>
      <c r="AL236" s="38">
        <v>2.0666666666666669</v>
      </c>
      <c r="AM236" s="52">
        <v>5800.4</v>
      </c>
      <c r="AN236" s="15">
        <v>7641.6849999999995</v>
      </c>
      <c r="AP236" s="36" t="s">
        <v>16</v>
      </c>
      <c r="AQ236" s="15">
        <v>8077.5749999999998</v>
      </c>
      <c r="AR236" s="2">
        <v>0</v>
      </c>
      <c r="AS236" s="30">
        <v>1</v>
      </c>
      <c r="AT236" s="2">
        <v>0</v>
      </c>
      <c r="AU236" s="3">
        <v>102.71319427820532</v>
      </c>
      <c r="AV236" s="3">
        <v>1.9666666666666668</v>
      </c>
      <c r="AW236" s="16">
        <v>5973.72</v>
      </c>
      <c r="AX236" s="15">
        <v>7722.9349999999995</v>
      </c>
    </row>
    <row r="237" spans="2:50" x14ac:dyDescent="0.25">
      <c r="B237" s="24" t="s">
        <v>16</v>
      </c>
      <c r="AF237" s="36" t="s">
        <v>16</v>
      </c>
      <c r="AG237" s="15">
        <v>8077.5749999999998</v>
      </c>
      <c r="AH237" s="2">
        <v>0</v>
      </c>
      <c r="AI237" s="30">
        <v>1</v>
      </c>
      <c r="AJ237" s="2">
        <v>0</v>
      </c>
      <c r="AK237" s="38">
        <v>102.71319427820532</v>
      </c>
      <c r="AL237" s="38">
        <v>1.9666666666666668</v>
      </c>
      <c r="AM237" s="52">
        <v>5973.72</v>
      </c>
      <c r="AN237" s="15">
        <v>7722.9349999999995</v>
      </c>
      <c r="AP237" s="36" t="s">
        <v>17</v>
      </c>
      <c r="AQ237" s="15">
        <v>8127.4</v>
      </c>
      <c r="AR237" s="2">
        <v>0</v>
      </c>
      <c r="AS237" s="30">
        <v>1</v>
      </c>
      <c r="AT237" s="2">
        <v>0</v>
      </c>
      <c r="AU237" s="3">
        <v>103.32947344387455</v>
      </c>
      <c r="AV237" s="3">
        <v>1.7666666666666666</v>
      </c>
      <c r="AW237" s="16">
        <v>5817.31</v>
      </c>
      <c r="AX237" s="15">
        <v>8077.5749999999998</v>
      </c>
    </row>
    <row r="238" spans="2:50" x14ac:dyDescent="0.25">
      <c r="B238" s="24" t="s">
        <v>17</v>
      </c>
      <c r="AF238" s="36" t="s">
        <v>17</v>
      </c>
      <c r="AG238" s="15">
        <v>8127.4</v>
      </c>
      <c r="AH238" s="2">
        <v>0</v>
      </c>
      <c r="AI238" s="30">
        <v>1</v>
      </c>
      <c r="AJ238" s="2">
        <v>0</v>
      </c>
      <c r="AK238" s="38">
        <v>103.32947344387455</v>
      </c>
      <c r="AL238" s="38">
        <v>1.7666666666666666</v>
      </c>
      <c r="AM238" s="52">
        <v>5817.31</v>
      </c>
      <c r="AN238" s="15">
        <v>8077.5749999999998</v>
      </c>
      <c r="AP238" s="36" t="s">
        <v>18</v>
      </c>
      <c r="AQ238" s="15">
        <v>8296.8050000000003</v>
      </c>
      <c r="AR238" s="2">
        <v>0</v>
      </c>
      <c r="AS238" s="30">
        <v>1</v>
      </c>
      <c r="AT238" s="2">
        <v>0</v>
      </c>
      <c r="AU238" s="3">
        <v>103.12281449698681</v>
      </c>
      <c r="AV238" s="3">
        <v>1.6666666666666667</v>
      </c>
      <c r="AW238" s="16">
        <v>5788.92</v>
      </c>
      <c r="AX238" s="15">
        <v>8127.4</v>
      </c>
    </row>
    <row r="239" spans="2:50" x14ac:dyDescent="0.25">
      <c r="B239" s="24" t="s">
        <v>18</v>
      </c>
      <c r="AF239" s="36" t="s">
        <v>18</v>
      </c>
      <c r="AG239" s="15">
        <v>8296.8050000000003</v>
      </c>
      <c r="AH239" s="2">
        <v>0</v>
      </c>
      <c r="AI239" s="30">
        <v>1</v>
      </c>
      <c r="AJ239" s="2">
        <v>0</v>
      </c>
      <c r="AK239" s="38">
        <v>103.12281449698681</v>
      </c>
      <c r="AL239" s="38">
        <v>1.6666666666666667</v>
      </c>
      <c r="AM239" s="52">
        <v>5788.92</v>
      </c>
      <c r="AN239" s="15">
        <v>8127.4</v>
      </c>
      <c r="AP239" s="36" t="s">
        <v>19</v>
      </c>
      <c r="AQ239" s="15">
        <v>8415.625</v>
      </c>
      <c r="AR239" s="2">
        <v>0</v>
      </c>
      <c r="AS239" s="30">
        <v>1</v>
      </c>
      <c r="AT239" s="2">
        <v>0</v>
      </c>
      <c r="AU239" s="3">
        <v>103.74155138396873</v>
      </c>
      <c r="AV239" s="3">
        <v>1.5</v>
      </c>
      <c r="AW239" s="16">
        <v>6131.29</v>
      </c>
      <c r="AX239" s="15">
        <v>8296.8050000000003</v>
      </c>
    </row>
    <row r="240" spans="2:50" x14ac:dyDescent="0.25">
      <c r="B240" s="24" t="s">
        <v>19</v>
      </c>
      <c r="AF240" s="36" t="s">
        <v>19</v>
      </c>
      <c r="AG240" s="15">
        <v>8415.625</v>
      </c>
      <c r="AH240" s="2">
        <v>0</v>
      </c>
      <c r="AI240" s="30">
        <v>1</v>
      </c>
      <c r="AJ240" s="2">
        <v>0</v>
      </c>
      <c r="AK240" s="38">
        <v>103.74155138396873</v>
      </c>
      <c r="AL240" s="38">
        <v>1.5</v>
      </c>
      <c r="AM240" s="52">
        <v>6131.29</v>
      </c>
      <c r="AN240" s="15">
        <v>8296.8050000000003</v>
      </c>
      <c r="AP240" s="36" t="s">
        <v>4</v>
      </c>
      <c r="AQ240" s="15">
        <v>7421.6533333333327</v>
      </c>
      <c r="AR240" s="2">
        <v>0</v>
      </c>
      <c r="AS240" s="30">
        <v>0</v>
      </c>
      <c r="AT240" s="2">
        <v>1</v>
      </c>
      <c r="AU240" s="3">
        <v>100</v>
      </c>
      <c r="AV240" s="3">
        <v>4.2333333333333334</v>
      </c>
      <c r="AW240" s="16">
        <v>5267.32</v>
      </c>
      <c r="AX240" s="15">
        <v>8415.625</v>
      </c>
    </row>
    <row r="241" spans="2:50" x14ac:dyDescent="0.25">
      <c r="B241" s="24" t="s">
        <v>4</v>
      </c>
      <c r="AF241" s="36" t="s">
        <v>4</v>
      </c>
      <c r="AG241" s="15">
        <v>7421.6533333333327</v>
      </c>
      <c r="AH241" s="2">
        <v>0</v>
      </c>
      <c r="AI241" s="30">
        <v>0</v>
      </c>
      <c r="AJ241" s="2">
        <v>1</v>
      </c>
      <c r="AK241" s="38">
        <v>100</v>
      </c>
      <c r="AL241" s="38">
        <v>4.2333333333333334</v>
      </c>
      <c r="AM241" s="52">
        <v>5267.32</v>
      </c>
      <c r="AN241" s="15">
        <v>8415.625</v>
      </c>
      <c r="AP241" s="36" t="s">
        <v>5</v>
      </c>
      <c r="AQ241" s="15">
        <v>7515.3766666666661</v>
      </c>
      <c r="AR241" s="2">
        <v>0</v>
      </c>
      <c r="AS241" s="30">
        <v>0</v>
      </c>
      <c r="AT241" s="2">
        <v>1</v>
      </c>
      <c r="AU241" s="3">
        <v>100.49999999999999</v>
      </c>
      <c r="AV241" s="3">
        <v>3.9666666666666663</v>
      </c>
      <c r="AW241" s="16">
        <v>5036.68</v>
      </c>
      <c r="AX241" s="15">
        <v>7421.6533333333327</v>
      </c>
    </row>
    <row r="242" spans="2:50" x14ac:dyDescent="0.25">
      <c r="B242" s="24" t="s">
        <v>5</v>
      </c>
      <c r="AF242" s="36" t="s">
        <v>5</v>
      </c>
      <c r="AG242" s="15">
        <v>7515.3766666666661</v>
      </c>
      <c r="AH242" s="2">
        <v>0</v>
      </c>
      <c r="AI242" s="30">
        <v>0</v>
      </c>
      <c r="AJ242" s="2">
        <v>1</v>
      </c>
      <c r="AK242" s="38">
        <v>100.49999999999999</v>
      </c>
      <c r="AL242" s="38">
        <v>3.9666666666666663</v>
      </c>
      <c r="AM242" s="52">
        <v>5036.68</v>
      </c>
      <c r="AN242" s="15">
        <v>7421.6533333333327</v>
      </c>
      <c r="AP242" s="36" t="s">
        <v>6</v>
      </c>
      <c r="AQ242" s="15">
        <v>7425.706666666666</v>
      </c>
      <c r="AR242" s="2">
        <v>0</v>
      </c>
      <c r="AS242" s="30">
        <v>0</v>
      </c>
      <c r="AT242" s="2">
        <v>1</v>
      </c>
      <c r="AU242" s="3">
        <v>100.09799999999998</v>
      </c>
      <c r="AV242" s="3">
        <v>3.7666666666666671</v>
      </c>
      <c r="AW242" s="16">
        <v>5002.71</v>
      </c>
      <c r="AX242" s="15">
        <v>7515.3766666666661</v>
      </c>
    </row>
    <row r="243" spans="2:50" x14ac:dyDescent="0.25">
      <c r="B243" s="24" t="s">
        <v>6</v>
      </c>
      <c r="AF243" s="36" t="s">
        <v>6</v>
      </c>
      <c r="AG243" s="15">
        <v>7425.706666666666</v>
      </c>
      <c r="AH243" s="2">
        <v>0</v>
      </c>
      <c r="AI243" s="30">
        <v>0</v>
      </c>
      <c r="AJ243" s="2">
        <v>1</v>
      </c>
      <c r="AK243" s="38">
        <v>100.09799999999998</v>
      </c>
      <c r="AL243" s="38">
        <v>3.7666666666666671</v>
      </c>
      <c r="AM243" s="52">
        <v>5002.71</v>
      </c>
      <c r="AN243" s="15">
        <v>7515.3766666666661</v>
      </c>
      <c r="AP243" s="36" t="s">
        <v>7</v>
      </c>
      <c r="AQ243" s="15">
        <v>7338.5633333333326</v>
      </c>
      <c r="AR243" s="2">
        <v>0</v>
      </c>
      <c r="AS243" s="30">
        <v>0</v>
      </c>
      <c r="AT243" s="2">
        <v>1</v>
      </c>
      <c r="AU243" s="3">
        <v>99.897803999999979</v>
      </c>
      <c r="AV243" s="3">
        <v>3.4666666666666663</v>
      </c>
      <c r="AW243" s="16">
        <v>5231.3</v>
      </c>
      <c r="AX243" s="15">
        <v>7425.706666666666</v>
      </c>
    </row>
    <row r="244" spans="2:50" x14ac:dyDescent="0.25">
      <c r="B244" s="24" t="s">
        <v>7</v>
      </c>
      <c r="AF244" s="36" t="s">
        <v>7</v>
      </c>
      <c r="AG244" s="15">
        <v>7338.5633333333326</v>
      </c>
      <c r="AH244" s="2">
        <v>0</v>
      </c>
      <c r="AI244" s="30">
        <v>0</v>
      </c>
      <c r="AJ244" s="2">
        <v>1</v>
      </c>
      <c r="AK244" s="38">
        <v>99.897803999999979</v>
      </c>
      <c r="AL244" s="38">
        <v>3.4666666666666663</v>
      </c>
      <c r="AM244" s="52">
        <v>5231.3</v>
      </c>
      <c r="AN244" s="15">
        <v>7425.706666666666</v>
      </c>
      <c r="AP244" s="36" t="s">
        <v>8</v>
      </c>
      <c r="AQ244" s="15">
        <v>7267.6266666666661</v>
      </c>
      <c r="AR244" s="2">
        <v>0</v>
      </c>
      <c r="AS244" s="30">
        <v>0</v>
      </c>
      <c r="AT244" s="2">
        <v>1</v>
      </c>
      <c r="AU244" s="3">
        <v>99.198519371999978</v>
      </c>
      <c r="AV244" s="3">
        <v>3.3666666666666667</v>
      </c>
      <c r="AW244" s="16">
        <v>5435.95</v>
      </c>
      <c r="AX244" s="15">
        <v>7338.5633333333326</v>
      </c>
    </row>
    <row r="245" spans="2:50" x14ac:dyDescent="0.25">
      <c r="B245" s="24" t="s">
        <v>8</v>
      </c>
      <c r="AF245" s="36" t="s">
        <v>8</v>
      </c>
      <c r="AG245" s="15">
        <v>7267.6266666666661</v>
      </c>
      <c r="AH245" s="2">
        <v>0</v>
      </c>
      <c r="AI245" s="30">
        <v>0</v>
      </c>
      <c r="AJ245" s="2">
        <v>1</v>
      </c>
      <c r="AK245" s="38">
        <v>99.198519371999978</v>
      </c>
      <c r="AL245" s="38">
        <v>3.3666666666666667</v>
      </c>
      <c r="AM245" s="52">
        <v>5435.95</v>
      </c>
      <c r="AN245" s="15">
        <v>7338.5633333333326</v>
      </c>
      <c r="AP245" s="36" t="s">
        <v>9</v>
      </c>
      <c r="AQ245" s="15">
        <v>7284.3733333333339</v>
      </c>
      <c r="AR245" s="2">
        <v>0</v>
      </c>
      <c r="AS245" s="30">
        <v>0</v>
      </c>
      <c r="AT245" s="2">
        <v>1</v>
      </c>
      <c r="AU245" s="3">
        <v>99.69451196885997</v>
      </c>
      <c r="AV245" s="3">
        <v>3.1999999999999997</v>
      </c>
      <c r="AW245" s="16">
        <v>5215.26</v>
      </c>
      <c r="AX245" s="15">
        <v>7267.6266666666661</v>
      </c>
    </row>
    <row r="246" spans="2:50" x14ac:dyDescent="0.25">
      <c r="B246" s="24" t="s">
        <v>9</v>
      </c>
      <c r="AF246" s="36" t="s">
        <v>9</v>
      </c>
      <c r="AG246" s="15">
        <v>7284.3733333333339</v>
      </c>
      <c r="AH246" s="2">
        <v>0</v>
      </c>
      <c r="AI246" s="30">
        <v>0</v>
      </c>
      <c r="AJ246" s="2">
        <v>1</v>
      </c>
      <c r="AK246" s="38">
        <v>99.69451196885997</v>
      </c>
      <c r="AL246" s="38">
        <v>3.1999999999999997</v>
      </c>
      <c r="AM246" s="52">
        <v>5215.26</v>
      </c>
      <c r="AN246" s="15">
        <v>7267.6266666666661</v>
      </c>
      <c r="AP246" s="36" t="s">
        <v>10</v>
      </c>
      <c r="AQ246" s="15">
        <v>7390.48</v>
      </c>
      <c r="AR246" s="2">
        <v>0</v>
      </c>
      <c r="AS246" s="30">
        <v>0</v>
      </c>
      <c r="AT246" s="2">
        <v>1</v>
      </c>
      <c r="AU246" s="3">
        <v>99.395428432953395</v>
      </c>
      <c r="AV246" s="3">
        <v>3.0333333333333332</v>
      </c>
      <c r="AW246" s="16">
        <v>5147.24</v>
      </c>
      <c r="AX246" s="15">
        <v>7284.3733333333339</v>
      </c>
    </row>
    <row r="247" spans="2:50" x14ac:dyDescent="0.25">
      <c r="B247" s="24" t="s">
        <v>10</v>
      </c>
      <c r="AF247" s="36" t="s">
        <v>10</v>
      </c>
      <c r="AG247" s="15">
        <v>7390.48</v>
      </c>
      <c r="AH247" s="2">
        <v>0</v>
      </c>
      <c r="AI247" s="30">
        <v>0</v>
      </c>
      <c r="AJ247" s="2">
        <v>1</v>
      </c>
      <c r="AK247" s="38">
        <v>99.395428432953395</v>
      </c>
      <c r="AL247" s="38">
        <v>3.0333333333333332</v>
      </c>
      <c r="AM247" s="52">
        <v>5147.24</v>
      </c>
      <c r="AN247" s="15">
        <v>7284.3733333333339</v>
      </c>
      <c r="AP247" s="36" t="s">
        <v>11</v>
      </c>
      <c r="AQ247" s="15">
        <v>7350.0733333333337</v>
      </c>
      <c r="AR247" s="2">
        <v>0</v>
      </c>
      <c r="AS247" s="30">
        <v>0</v>
      </c>
      <c r="AT247" s="2">
        <v>1</v>
      </c>
      <c r="AU247" s="3">
        <v>100.19059186041703</v>
      </c>
      <c r="AV247" s="3">
        <v>2.7666666666666662</v>
      </c>
      <c r="AW247" s="16">
        <v>5403.01</v>
      </c>
      <c r="AX247" s="15">
        <v>7390.48</v>
      </c>
    </row>
    <row r="248" spans="2:50" x14ac:dyDescent="0.25">
      <c r="B248" s="24" t="s">
        <v>11</v>
      </c>
      <c r="AF248" s="36" t="s">
        <v>11</v>
      </c>
      <c r="AG248" s="15">
        <v>7350.0733333333337</v>
      </c>
      <c r="AH248" s="2">
        <v>0</v>
      </c>
      <c r="AI248" s="30">
        <v>0</v>
      </c>
      <c r="AJ248" s="2">
        <v>1</v>
      </c>
      <c r="AK248" s="38">
        <v>100.19059186041703</v>
      </c>
      <c r="AL248" s="38">
        <v>2.7666666666666662</v>
      </c>
      <c r="AM248" s="52">
        <v>5403.01</v>
      </c>
      <c r="AN248" s="15">
        <v>7390.48</v>
      </c>
      <c r="AP248" s="36" t="s">
        <v>12</v>
      </c>
      <c r="AQ248" s="15">
        <v>7280.3533333333326</v>
      </c>
      <c r="AR248" s="2">
        <v>0</v>
      </c>
      <c r="AS248" s="30">
        <v>0</v>
      </c>
      <c r="AT248" s="2">
        <v>1</v>
      </c>
      <c r="AU248" s="3">
        <v>101.1924977790212</v>
      </c>
      <c r="AV248" s="3">
        <v>2.6333333333333333</v>
      </c>
      <c r="AW248" s="16">
        <v>5600.99</v>
      </c>
      <c r="AX248" s="15">
        <v>7350.0733333333337</v>
      </c>
    </row>
    <row r="249" spans="2:50" x14ac:dyDescent="0.25">
      <c r="B249" s="24" t="s">
        <v>12</v>
      </c>
      <c r="AF249" s="36" t="s">
        <v>12</v>
      </c>
      <c r="AG249" s="15">
        <v>7280.3533333333326</v>
      </c>
      <c r="AH249" s="2">
        <v>0</v>
      </c>
      <c r="AI249" s="30">
        <v>0</v>
      </c>
      <c r="AJ249" s="2">
        <v>1</v>
      </c>
      <c r="AK249" s="38">
        <v>101.1924977790212</v>
      </c>
      <c r="AL249" s="38">
        <v>2.6333333333333333</v>
      </c>
      <c r="AM249" s="52">
        <v>5600.99</v>
      </c>
      <c r="AN249" s="15">
        <v>7350.0733333333337</v>
      </c>
      <c r="AP249" s="36" t="s">
        <v>13</v>
      </c>
      <c r="AQ249" s="15">
        <v>7301.5933333333332</v>
      </c>
      <c r="AR249" s="2">
        <v>0</v>
      </c>
      <c r="AS249" s="30">
        <v>0</v>
      </c>
      <c r="AT249" s="2">
        <v>1</v>
      </c>
      <c r="AU249" s="3">
        <v>101.59726777013728</v>
      </c>
      <c r="AV249" s="3">
        <v>2.4333333333333336</v>
      </c>
      <c r="AW249" s="16">
        <v>5459.95</v>
      </c>
      <c r="AX249" s="15">
        <v>7280.3533333333326</v>
      </c>
    </row>
    <row r="250" spans="2:50" x14ac:dyDescent="0.25">
      <c r="B250" s="24" t="s">
        <v>13</v>
      </c>
      <c r="AF250" s="36" t="s">
        <v>13</v>
      </c>
      <c r="AG250" s="15">
        <v>7301.5933333333332</v>
      </c>
      <c r="AH250" s="2">
        <v>0</v>
      </c>
      <c r="AI250" s="30">
        <v>0</v>
      </c>
      <c r="AJ250" s="2">
        <v>1</v>
      </c>
      <c r="AK250" s="38">
        <v>101.59726777013728</v>
      </c>
      <c r="AL250" s="38">
        <v>2.4333333333333336</v>
      </c>
      <c r="AM250" s="52">
        <v>5459.95</v>
      </c>
      <c r="AN250" s="15">
        <v>7280.3533333333326</v>
      </c>
      <c r="AP250" s="36" t="s">
        <v>14</v>
      </c>
      <c r="AQ250" s="15">
        <v>7580.6966666666667</v>
      </c>
      <c r="AR250" s="2">
        <v>0</v>
      </c>
      <c r="AS250" s="30">
        <v>0</v>
      </c>
      <c r="AT250" s="2">
        <v>1</v>
      </c>
      <c r="AU250" s="3">
        <v>101.19087869905673</v>
      </c>
      <c r="AV250" s="3">
        <v>2.2999999999999998</v>
      </c>
      <c r="AW250" s="16">
        <v>5412.94</v>
      </c>
      <c r="AX250" s="15">
        <v>7301.5933333333332</v>
      </c>
    </row>
    <row r="251" spans="2:50" x14ac:dyDescent="0.25">
      <c r="B251" s="24" t="s">
        <v>14</v>
      </c>
      <c r="AF251" s="36" t="s">
        <v>14</v>
      </c>
      <c r="AG251" s="15">
        <v>7580.6966666666667</v>
      </c>
      <c r="AH251" s="2">
        <v>0</v>
      </c>
      <c r="AI251" s="30">
        <v>0</v>
      </c>
      <c r="AJ251" s="2">
        <v>1</v>
      </c>
      <c r="AK251" s="38">
        <v>101.19087869905673</v>
      </c>
      <c r="AL251" s="38">
        <v>2.2999999999999998</v>
      </c>
      <c r="AM251" s="52">
        <v>5412.94</v>
      </c>
      <c r="AN251" s="15">
        <v>7301.5933333333332</v>
      </c>
      <c r="AP251" s="36" t="s">
        <v>15</v>
      </c>
      <c r="AQ251" s="15">
        <v>7676.3533333333326</v>
      </c>
      <c r="AR251" s="2">
        <v>0</v>
      </c>
      <c r="AS251" s="30">
        <v>0</v>
      </c>
      <c r="AT251" s="2">
        <v>1</v>
      </c>
      <c r="AU251" s="3">
        <v>102.30397836474634</v>
      </c>
      <c r="AV251" s="3">
        <v>2.0666666666666669</v>
      </c>
      <c r="AW251" s="16">
        <v>5800.4</v>
      </c>
      <c r="AX251" s="15">
        <v>7580.6966666666667</v>
      </c>
    </row>
    <row r="252" spans="2:50" x14ac:dyDescent="0.25">
      <c r="B252" s="24" t="s">
        <v>15</v>
      </c>
      <c r="AF252" s="36" t="s">
        <v>15</v>
      </c>
      <c r="AG252" s="15">
        <v>7676.3533333333326</v>
      </c>
      <c r="AH252" s="2">
        <v>0</v>
      </c>
      <c r="AI252" s="30">
        <v>0</v>
      </c>
      <c r="AJ252" s="2">
        <v>1</v>
      </c>
      <c r="AK252" s="38">
        <v>102.30397836474634</v>
      </c>
      <c r="AL252" s="38">
        <v>2.0666666666666669</v>
      </c>
      <c r="AM252" s="52">
        <v>5800.4</v>
      </c>
      <c r="AN252" s="15">
        <v>7580.6966666666667</v>
      </c>
      <c r="AP252" s="36" t="s">
        <v>16</v>
      </c>
      <c r="AQ252" s="15">
        <v>8026.0466666666662</v>
      </c>
      <c r="AR252" s="2">
        <v>0</v>
      </c>
      <c r="AS252" s="30">
        <v>0</v>
      </c>
      <c r="AT252" s="2">
        <v>1</v>
      </c>
      <c r="AU252" s="3">
        <v>102.71319427820532</v>
      </c>
      <c r="AV252" s="3">
        <v>1.9666666666666668</v>
      </c>
      <c r="AW252" s="16">
        <v>5973.72</v>
      </c>
      <c r="AX252" s="15">
        <v>7676.3533333333326</v>
      </c>
    </row>
    <row r="253" spans="2:50" x14ac:dyDescent="0.25">
      <c r="B253" s="24" t="s">
        <v>16</v>
      </c>
      <c r="AF253" s="36" t="s">
        <v>16</v>
      </c>
      <c r="AG253" s="15">
        <v>8026.0466666666662</v>
      </c>
      <c r="AH253" s="2">
        <v>0</v>
      </c>
      <c r="AI253" s="30">
        <v>0</v>
      </c>
      <c r="AJ253" s="2">
        <v>1</v>
      </c>
      <c r="AK253" s="38">
        <v>102.71319427820532</v>
      </c>
      <c r="AL253" s="38">
        <v>1.9666666666666668</v>
      </c>
      <c r="AM253" s="52">
        <v>5973.72</v>
      </c>
      <c r="AN253" s="15">
        <v>7676.3533333333326</v>
      </c>
      <c r="AP253" s="36" t="s">
        <v>17</v>
      </c>
      <c r="AQ253" s="15">
        <v>7985.623333333333</v>
      </c>
      <c r="AR253" s="2">
        <v>0</v>
      </c>
      <c r="AS253" s="30">
        <v>0</v>
      </c>
      <c r="AT253" s="2">
        <v>1</v>
      </c>
      <c r="AU253" s="3">
        <v>103.32947344387455</v>
      </c>
      <c r="AV253" s="3">
        <v>1.7666666666666666</v>
      </c>
      <c r="AW253" s="16">
        <v>5817.31</v>
      </c>
      <c r="AX253" s="15">
        <v>8026.0466666666662</v>
      </c>
    </row>
    <row r="254" spans="2:50" x14ac:dyDescent="0.25">
      <c r="B254" s="24" t="s">
        <v>17</v>
      </c>
      <c r="AF254" s="36" t="s">
        <v>17</v>
      </c>
      <c r="AG254" s="15">
        <v>7985.623333333333</v>
      </c>
      <c r="AH254" s="2">
        <v>0</v>
      </c>
      <c r="AI254" s="30">
        <v>0</v>
      </c>
      <c r="AJ254" s="2">
        <v>1</v>
      </c>
      <c r="AK254" s="38">
        <v>103.32947344387455</v>
      </c>
      <c r="AL254" s="38">
        <v>1.7666666666666666</v>
      </c>
      <c r="AM254" s="52">
        <v>5817.31</v>
      </c>
      <c r="AN254" s="15">
        <v>8026.0466666666662</v>
      </c>
      <c r="AP254" s="36" t="s">
        <v>18</v>
      </c>
      <c r="AQ254" s="15">
        <v>7962.9800000000005</v>
      </c>
      <c r="AR254" s="2">
        <v>0</v>
      </c>
      <c r="AS254" s="30">
        <v>0</v>
      </c>
      <c r="AT254" s="2">
        <v>1</v>
      </c>
      <c r="AU254" s="3">
        <v>103.12281449698681</v>
      </c>
      <c r="AV254" s="3">
        <v>1.6666666666666667</v>
      </c>
      <c r="AW254" s="16">
        <v>5788.92</v>
      </c>
      <c r="AX254" s="15">
        <v>7985.623333333333</v>
      </c>
    </row>
    <row r="255" spans="2:50" x14ac:dyDescent="0.25">
      <c r="B255" s="24" t="s">
        <v>18</v>
      </c>
      <c r="AF255" s="36" t="s">
        <v>18</v>
      </c>
      <c r="AG255" s="15">
        <v>7962.9800000000005</v>
      </c>
      <c r="AH255" s="2">
        <v>0</v>
      </c>
      <c r="AI255" s="30">
        <v>0</v>
      </c>
      <c r="AJ255" s="2">
        <v>1</v>
      </c>
      <c r="AK255" s="38">
        <v>103.12281449698681</v>
      </c>
      <c r="AL255" s="38">
        <v>1.6666666666666667</v>
      </c>
      <c r="AM255" s="52">
        <v>5788.92</v>
      </c>
      <c r="AN255" s="15">
        <v>7985.623333333333</v>
      </c>
      <c r="AP255" s="36" t="s">
        <v>19</v>
      </c>
      <c r="AQ255" s="15">
        <v>8116.0766666666668</v>
      </c>
      <c r="AR255" s="2">
        <v>0</v>
      </c>
      <c r="AS255" s="30">
        <v>0</v>
      </c>
      <c r="AT255" s="2">
        <v>1</v>
      </c>
      <c r="AU255" s="3">
        <v>103.74155138396873</v>
      </c>
      <c r="AV255" s="3">
        <v>1.5</v>
      </c>
      <c r="AW255" s="16">
        <v>6131.29</v>
      </c>
      <c r="AX255" s="15">
        <v>7962.9800000000005</v>
      </c>
    </row>
    <row r="256" spans="2:50" x14ac:dyDescent="0.25">
      <c r="B256" s="24" t="s">
        <v>19</v>
      </c>
      <c r="AF256" s="36" t="s">
        <v>19</v>
      </c>
      <c r="AG256" s="15">
        <v>8116.0766666666668</v>
      </c>
      <c r="AH256" s="2">
        <v>0</v>
      </c>
      <c r="AI256" s="30">
        <v>0</v>
      </c>
      <c r="AJ256" s="2">
        <v>1</v>
      </c>
      <c r="AK256" s="38">
        <v>103.74155138396873</v>
      </c>
      <c r="AL256" s="38">
        <v>1.5</v>
      </c>
      <c r="AM256" s="52">
        <v>6131.29</v>
      </c>
      <c r="AN256" s="15">
        <v>7962.9800000000005</v>
      </c>
      <c r="AP256" s="36" t="s">
        <v>4</v>
      </c>
      <c r="AQ256" s="15">
        <v>8251.6899999999987</v>
      </c>
      <c r="AR256" s="2">
        <v>-1</v>
      </c>
      <c r="AS256" s="2">
        <v>-1</v>
      </c>
      <c r="AT256" s="2">
        <v>-1</v>
      </c>
      <c r="AU256" s="3">
        <v>100</v>
      </c>
      <c r="AV256" s="3">
        <v>4.2333333333333334</v>
      </c>
      <c r="AW256" s="16">
        <v>5267.32</v>
      </c>
      <c r="AX256" s="15">
        <v>8116.0766666666668</v>
      </c>
    </row>
    <row r="257" spans="2:50" x14ac:dyDescent="0.25">
      <c r="B257" s="24" t="s">
        <v>4</v>
      </c>
      <c r="AF257" s="36" t="s">
        <v>4</v>
      </c>
      <c r="AG257" s="15">
        <v>8251.6899999999987</v>
      </c>
      <c r="AH257" s="2">
        <v>-1</v>
      </c>
      <c r="AI257" s="2">
        <v>-1</v>
      </c>
      <c r="AJ257" s="2">
        <v>-1</v>
      </c>
      <c r="AK257" s="38">
        <v>100</v>
      </c>
      <c r="AL257" s="38">
        <v>4.2333333333333334</v>
      </c>
      <c r="AM257" s="52">
        <v>5267.32</v>
      </c>
      <c r="AN257" s="15">
        <v>8116.0766666666668</v>
      </c>
      <c r="AP257" s="36" t="s">
        <v>5</v>
      </c>
      <c r="AQ257" s="15">
        <v>8207.380000000001</v>
      </c>
      <c r="AR257" s="2">
        <v>-1</v>
      </c>
      <c r="AS257" s="2">
        <v>-1</v>
      </c>
      <c r="AT257" s="2">
        <v>-1</v>
      </c>
      <c r="AU257" s="3">
        <v>100.49999999999999</v>
      </c>
      <c r="AV257" s="3">
        <v>3.9666666666666663</v>
      </c>
      <c r="AW257" s="16">
        <v>5036.68</v>
      </c>
      <c r="AX257" s="15">
        <v>8251.6899999999987</v>
      </c>
    </row>
    <row r="258" spans="2:50" x14ac:dyDescent="0.25">
      <c r="B258" s="24" t="s">
        <v>5</v>
      </c>
      <c r="AF258" s="36" t="s">
        <v>5</v>
      </c>
      <c r="AG258" s="15">
        <v>8207.380000000001</v>
      </c>
      <c r="AH258" s="2">
        <v>-1</v>
      </c>
      <c r="AI258" s="2">
        <v>-1</v>
      </c>
      <c r="AJ258" s="2">
        <v>-1</v>
      </c>
      <c r="AK258" s="38">
        <v>100.49999999999999</v>
      </c>
      <c r="AL258" s="38">
        <v>3.9666666666666663</v>
      </c>
      <c r="AM258" s="52">
        <v>5036.68</v>
      </c>
      <c r="AN258" s="15">
        <v>8251.6899999999987</v>
      </c>
      <c r="AP258" s="36" t="s">
        <v>6</v>
      </c>
      <c r="AQ258" s="15">
        <v>7988.2</v>
      </c>
      <c r="AR258" s="2">
        <v>-1</v>
      </c>
      <c r="AS258" s="2">
        <v>-1</v>
      </c>
      <c r="AT258" s="2">
        <v>-1</v>
      </c>
      <c r="AU258" s="3">
        <v>100.09799999999998</v>
      </c>
      <c r="AV258" s="3">
        <v>3.7666666666666671</v>
      </c>
      <c r="AW258" s="16">
        <v>5002.71</v>
      </c>
      <c r="AX258" s="15">
        <v>8207.380000000001</v>
      </c>
    </row>
    <row r="259" spans="2:50" x14ac:dyDescent="0.25">
      <c r="B259" s="24" t="s">
        <v>6</v>
      </c>
      <c r="AF259" s="36" t="s">
        <v>6</v>
      </c>
      <c r="AG259" s="15">
        <v>7988.2</v>
      </c>
      <c r="AH259" s="2">
        <v>-1</v>
      </c>
      <c r="AI259" s="2">
        <v>-1</v>
      </c>
      <c r="AJ259" s="2">
        <v>-1</v>
      </c>
      <c r="AK259" s="38">
        <v>100.09799999999998</v>
      </c>
      <c r="AL259" s="38">
        <v>3.7666666666666671</v>
      </c>
      <c r="AM259" s="52">
        <v>5002.71</v>
      </c>
      <c r="AN259" s="15">
        <v>8207.380000000001</v>
      </c>
      <c r="AP259" s="36" t="s">
        <v>7</v>
      </c>
      <c r="AQ259" s="15">
        <v>7965.0949999999993</v>
      </c>
      <c r="AR259" s="2">
        <v>-1</v>
      </c>
      <c r="AS259" s="2">
        <v>-1</v>
      </c>
      <c r="AT259" s="2">
        <v>-1</v>
      </c>
      <c r="AU259" s="3">
        <v>99.897803999999979</v>
      </c>
      <c r="AV259" s="3">
        <v>3.4666666666666663</v>
      </c>
      <c r="AW259" s="16">
        <v>5231.3</v>
      </c>
      <c r="AX259" s="15">
        <v>7988.2</v>
      </c>
    </row>
    <row r="260" spans="2:50" x14ac:dyDescent="0.25">
      <c r="B260" s="24" t="s">
        <v>7</v>
      </c>
      <c r="AF260" s="36" t="s">
        <v>7</v>
      </c>
      <c r="AG260" s="15">
        <v>7965.0949999999993</v>
      </c>
      <c r="AH260" s="2">
        <v>-1</v>
      </c>
      <c r="AI260" s="2">
        <v>-1</v>
      </c>
      <c r="AJ260" s="2">
        <v>-1</v>
      </c>
      <c r="AK260" s="38">
        <v>99.897803999999979</v>
      </c>
      <c r="AL260" s="38">
        <v>3.4666666666666663</v>
      </c>
      <c r="AM260" s="52">
        <v>5231.3</v>
      </c>
      <c r="AN260" s="15">
        <v>7988.2</v>
      </c>
      <c r="AP260" s="36" t="s">
        <v>8</v>
      </c>
      <c r="AQ260" s="15">
        <v>7923.3950000000004</v>
      </c>
      <c r="AR260" s="2">
        <v>-1</v>
      </c>
      <c r="AS260" s="2">
        <v>-1</v>
      </c>
      <c r="AT260" s="2">
        <v>-1</v>
      </c>
      <c r="AU260" s="3">
        <v>99.198519371999978</v>
      </c>
      <c r="AV260" s="3">
        <v>3.3666666666666667</v>
      </c>
      <c r="AW260" s="16">
        <v>5435.95</v>
      </c>
      <c r="AX260" s="15">
        <v>7965.0949999999993</v>
      </c>
    </row>
    <row r="261" spans="2:50" x14ac:dyDescent="0.25">
      <c r="B261" s="24" t="s">
        <v>8</v>
      </c>
      <c r="AF261" s="36" t="s">
        <v>8</v>
      </c>
      <c r="AG261" s="15">
        <v>7923.3950000000004</v>
      </c>
      <c r="AH261" s="2">
        <v>-1</v>
      </c>
      <c r="AI261" s="2">
        <v>-1</v>
      </c>
      <c r="AJ261" s="2">
        <v>-1</v>
      </c>
      <c r="AK261" s="38">
        <v>99.198519371999978</v>
      </c>
      <c r="AL261" s="38">
        <v>3.3666666666666667</v>
      </c>
      <c r="AM261" s="52">
        <v>5435.95</v>
      </c>
      <c r="AN261" s="15">
        <v>7965.0949999999993</v>
      </c>
      <c r="AP261" s="36" t="s">
        <v>9</v>
      </c>
      <c r="AQ261" s="15">
        <v>7963.7549999999992</v>
      </c>
      <c r="AR261" s="2">
        <v>-1</v>
      </c>
      <c r="AS261" s="2">
        <v>-1</v>
      </c>
      <c r="AT261" s="2">
        <v>-1</v>
      </c>
      <c r="AU261" s="3">
        <v>99.69451196885997</v>
      </c>
      <c r="AV261" s="3">
        <v>3.1999999999999997</v>
      </c>
      <c r="AW261" s="16">
        <v>5215.26</v>
      </c>
      <c r="AX261" s="15">
        <v>7923.3950000000004</v>
      </c>
    </row>
    <row r="262" spans="2:50" x14ac:dyDescent="0.25">
      <c r="B262" s="24" t="s">
        <v>9</v>
      </c>
      <c r="AF262" s="36" t="s">
        <v>9</v>
      </c>
      <c r="AG262" s="15">
        <v>7963.7549999999992</v>
      </c>
      <c r="AH262" s="2">
        <v>-1</v>
      </c>
      <c r="AI262" s="2">
        <v>-1</v>
      </c>
      <c r="AJ262" s="2">
        <v>-1</v>
      </c>
      <c r="AK262" s="38">
        <v>99.69451196885997</v>
      </c>
      <c r="AL262" s="38">
        <v>3.1999999999999997</v>
      </c>
      <c r="AM262" s="52">
        <v>5215.26</v>
      </c>
      <c r="AN262" s="15">
        <v>7923.3950000000004</v>
      </c>
      <c r="AP262" s="36" t="s">
        <v>10</v>
      </c>
      <c r="AQ262" s="15">
        <v>8202.9</v>
      </c>
      <c r="AR262" s="2">
        <v>-1</v>
      </c>
      <c r="AS262" s="2">
        <v>-1</v>
      </c>
      <c r="AT262" s="2">
        <v>-1</v>
      </c>
      <c r="AU262" s="3">
        <v>99.395428432953395</v>
      </c>
      <c r="AV262" s="3">
        <v>3.0333333333333332</v>
      </c>
      <c r="AW262" s="16">
        <v>5147.24</v>
      </c>
      <c r="AX262" s="15">
        <v>7963.7549999999992</v>
      </c>
    </row>
    <row r="263" spans="2:50" x14ac:dyDescent="0.25">
      <c r="B263" s="24" t="s">
        <v>10</v>
      </c>
      <c r="AF263" s="36" t="s">
        <v>10</v>
      </c>
      <c r="AG263" s="15">
        <v>8202.9</v>
      </c>
      <c r="AH263" s="2">
        <v>-1</v>
      </c>
      <c r="AI263" s="2">
        <v>-1</v>
      </c>
      <c r="AJ263" s="2">
        <v>-1</v>
      </c>
      <c r="AK263" s="38">
        <v>99.395428432953395</v>
      </c>
      <c r="AL263" s="38">
        <v>3.0333333333333332</v>
      </c>
      <c r="AM263" s="52">
        <v>5147.24</v>
      </c>
      <c r="AN263" s="15">
        <v>7963.7549999999992</v>
      </c>
      <c r="AP263" s="36" t="s">
        <v>11</v>
      </c>
      <c r="AQ263" s="15">
        <v>8125.29</v>
      </c>
      <c r="AR263" s="2">
        <v>-1</v>
      </c>
      <c r="AS263" s="2">
        <v>-1</v>
      </c>
      <c r="AT263" s="2">
        <v>-1</v>
      </c>
      <c r="AU263" s="3">
        <v>100.19059186041703</v>
      </c>
      <c r="AV263" s="3">
        <v>2.7666666666666662</v>
      </c>
      <c r="AW263" s="16">
        <v>5403.01</v>
      </c>
      <c r="AX263" s="15">
        <v>8202.9</v>
      </c>
    </row>
    <row r="264" spans="2:50" x14ac:dyDescent="0.25">
      <c r="B264" s="24" t="s">
        <v>11</v>
      </c>
      <c r="AF264" s="36" t="s">
        <v>11</v>
      </c>
      <c r="AG264" s="15">
        <v>8125.29</v>
      </c>
      <c r="AH264" s="2">
        <v>-1</v>
      </c>
      <c r="AI264" s="2">
        <v>-1</v>
      </c>
      <c r="AJ264" s="2">
        <v>-1</v>
      </c>
      <c r="AK264" s="38">
        <v>100.19059186041703</v>
      </c>
      <c r="AL264" s="38">
        <v>2.7666666666666662</v>
      </c>
      <c r="AM264" s="52">
        <v>5403.01</v>
      </c>
      <c r="AN264" s="15">
        <v>8202.9</v>
      </c>
      <c r="AP264" s="36" t="s">
        <v>12</v>
      </c>
      <c r="AQ264" s="15">
        <v>8344.99</v>
      </c>
      <c r="AR264" s="2">
        <v>-1</v>
      </c>
      <c r="AS264" s="2">
        <v>-1</v>
      </c>
      <c r="AT264" s="2">
        <v>-1</v>
      </c>
      <c r="AU264" s="3">
        <v>101.1924977790212</v>
      </c>
      <c r="AV264" s="3">
        <v>2.6333333333333333</v>
      </c>
      <c r="AW264" s="16">
        <v>5600.99</v>
      </c>
      <c r="AX264" s="15">
        <v>8125.29</v>
      </c>
    </row>
    <row r="265" spans="2:50" x14ac:dyDescent="0.25">
      <c r="B265" s="24" t="s">
        <v>12</v>
      </c>
      <c r="AF265" s="36" t="s">
        <v>12</v>
      </c>
      <c r="AG265" s="15">
        <v>8344.99</v>
      </c>
      <c r="AH265" s="2">
        <v>-1</v>
      </c>
      <c r="AI265" s="2">
        <v>-1</v>
      </c>
      <c r="AJ265" s="2">
        <v>-1</v>
      </c>
      <c r="AK265" s="38">
        <v>101.1924977790212</v>
      </c>
      <c r="AL265" s="38">
        <v>2.6333333333333333</v>
      </c>
      <c r="AM265" s="52">
        <v>5600.99</v>
      </c>
      <c r="AN265" s="15">
        <v>8125.29</v>
      </c>
      <c r="AP265" s="36" t="s">
        <v>13</v>
      </c>
      <c r="AQ265" s="15">
        <v>8036.78</v>
      </c>
      <c r="AR265" s="2">
        <v>-1</v>
      </c>
      <c r="AS265" s="2">
        <v>-1</v>
      </c>
      <c r="AT265" s="2">
        <v>-1</v>
      </c>
      <c r="AU265" s="3">
        <v>101.59726777013728</v>
      </c>
      <c r="AV265" s="3">
        <v>2.4333333333333336</v>
      </c>
      <c r="AW265" s="16">
        <v>5459.95</v>
      </c>
      <c r="AX265" s="15">
        <v>8344.99</v>
      </c>
    </row>
    <row r="266" spans="2:50" x14ac:dyDescent="0.25">
      <c r="B266" s="24" t="s">
        <v>13</v>
      </c>
      <c r="AF266" s="36" t="s">
        <v>13</v>
      </c>
      <c r="AG266" s="15">
        <v>8036.78</v>
      </c>
      <c r="AH266" s="2">
        <v>-1</v>
      </c>
      <c r="AI266" s="2">
        <v>-1</v>
      </c>
      <c r="AJ266" s="2">
        <v>-1</v>
      </c>
      <c r="AK266" s="38">
        <v>101.59726777013728</v>
      </c>
      <c r="AL266" s="38">
        <v>2.4333333333333336</v>
      </c>
      <c r="AM266" s="52">
        <v>5459.95</v>
      </c>
      <c r="AN266" s="15">
        <v>8344.99</v>
      </c>
      <c r="AP266" s="36" t="s">
        <v>14</v>
      </c>
      <c r="AQ266" s="15">
        <v>8056.17</v>
      </c>
      <c r="AR266" s="2">
        <v>-1</v>
      </c>
      <c r="AS266" s="2">
        <v>-1</v>
      </c>
      <c r="AT266" s="2">
        <v>-1</v>
      </c>
      <c r="AU266" s="3">
        <v>101.19087869905673</v>
      </c>
      <c r="AV266" s="3">
        <v>2.2999999999999998</v>
      </c>
      <c r="AW266" s="16">
        <v>5412.94</v>
      </c>
      <c r="AX266" s="15">
        <v>8036.78</v>
      </c>
    </row>
    <row r="267" spans="2:50" x14ac:dyDescent="0.25">
      <c r="B267" s="24" t="s">
        <v>14</v>
      </c>
      <c r="AF267" s="36" t="s">
        <v>14</v>
      </c>
      <c r="AG267" s="15">
        <v>8056.17</v>
      </c>
      <c r="AH267" s="2">
        <v>-1</v>
      </c>
      <c r="AI267" s="2">
        <v>-1</v>
      </c>
      <c r="AJ267" s="2">
        <v>-1</v>
      </c>
      <c r="AK267" s="38">
        <v>101.19087869905673</v>
      </c>
      <c r="AL267" s="38">
        <v>2.2999999999999998</v>
      </c>
      <c r="AM267" s="52">
        <v>5412.94</v>
      </c>
      <c r="AN267" s="15">
        <v>8036.78</v>
      </c>
      <c r="AP267" s="36" t="s">
        <v>15</v>
      </c>
      <c r="AQ267" s="15">
        <v>8268.89</v>
      </c>
      <c r="AR267" s="2">
        <v>-1</v>
      </c>
      <c r="AS267" s="2">
        <v>-1</v>
      </c>
      <c r="AT267" s="2">
        <v>-1</v>
      </c>
      <c r="AU267" s="3">
        <v>102.30397836474634</v>
      </c>
      <c r="AV267" s="3">
        <v>2.0666666666666669</v>
      </c>
      <c r="AW267" s="16">
        <v>5800.4</v>
      </c>
      <c r="AX267" s="15">
        <v>8056.17</v>
      </c>
    </row>
    <row r="268" spans="2:50" x14ac:dyDescent="0.25">
      <c r="B268" s="24" t="s">
        <v>15</v>
      </c>
      <c r="AF268" s="36" t="s">
        <v>15</v>
      </c>
      <c r="AG268" s="15">
        <v>8268.89</v>
      </c>
      <c r="AH268" s="2">
        <v>-1</v>
      </c>
      <c r="AI268" s="2">
        <v>-1</v>
      </c>
      <c r="AJ268" s="2">
        <v>-1</v>
      </c>
      <c r="AK268" s="38">
        <v>102.30397836474634</v>
      </c>
      <c r="AL268" s="38">
        <v>2.0666666666666669</v>
      </c>
      <c r="AM268" s="52">
        <v>5800.4</v>
      </c>
      <c r="AN268" s="15">
        <v>8056.17</v>
      </c>
      <c r="AP268" s="36" t="s">
        <v>16</v>
      </c>
      <c r="AQ268" s="15">
        <v>8534.8050000000003</v>
      </c>
      <c r="AR268" s="2">
        <v>-1</v>
      </c>
      <c r="AS268" s="2">
        <v>-1</v>
      </c>
      <c r="AT268" s="2">
        <v>-1</v>
      </c>
      <c r="AU268" s="3">
        <v>102.71319427820532</v>
      </c>
      <c r="AV268" s="3">
        <v>1.9666666666666668</v>
      </c>
      <c r="AW268" s="16">
        <v>5973.72</v>
      </c>
      <c r="AX268" s="15">
        <v>8268.89</v>
      </c>
    </row>
    <row r="269" spans="2:50" x14ac:dyDescent="0.25">
      <c r="B269" s="24" t="s">
        <v>16</v>
      </c>
      <c r="AF269" s="36" t="s">
        <v>16</v>
      </c>
      <c r="AG269" s="15">
        <v>8534.8050000000003</v>
      </c>
      <c r="AH269" s="2">
        <v>-1</v>
      </c>
      <c r="AI269" s="2">
        <v>-1</v>
      </c>
      <c r="AJ269" s="2">
        <v>-1</v>
      </c>
      <c r="AK269" s="38">
        <v>102.71319427820532</v>
      </c>
      <c r="AL269" s="38">
        <v>1.9666666666666668</v>
      </c>
      <c r="AM269" s="52">
        <v>5973.72</v>
      </c>
      <c r="AN269" s="15">
        <v>8268.89</v>
      </c>
      <c r="AP269" s="36" t="s">
        <v>17</v>
      </c>
      <c r="AQ269" s="15">
        <v>9125.0950000000012</v>
      </c>
      <c r="AR269" s="2">
        <v>-1</v>
      </c>
      <c r="AS269" s="2">
        <v>-1</v>
      </c>
      <c r="AT269" s="2">
        <v>-1</v>
      </c>
      <c r="AU269" s="3">
        <v>103.32947344387455</v>
      </c>
      <c r="AV269" s="3">
        <v>1.7666666666666666</v>
      </c>
      <c r="AW269" s="16">
        <v>5817.31</v>
      </c>
      <c r="AX269" s="15">
        <v>8534.8050000000003</v>
      </c>
    </row>
    <row r="270" spans="2:50" x14ac:dyDescent="0.25">
      <c r="B270" s="24" t="s">
        <v>17</v>
      </c>
      <c r="AF270" s="36" t="s">
        <v>17</v>
      </c>
      <c r="AG270" s="15">
        <v>9125.0950000000012</v>
      </c>
      <c r="AH270" s="2">
        <v>-1</v>
      </c>
      <c r="AI270" s="2">
        <v>-1</v>
      </c>
      <c r="AJ270" s="2">
        <v>-1</v>
      </c>
      <c r="AK270" s="38">
        <v>103.32947344387455</v>
      </c>
      <c r="AL270" s="38">
        <v>1.7666666666666666</v>
      </c>
      <c r="AM270" s="52">
        <v>5817.31</v>
      </c>
      <c r="AN270" s="15">
        <v>8534.8050000000003</v>
      </c>
      <c r="AP270" s="36" t="s">
        <v>18</v>
      </c>
      <c r="AQ270" s="15">
        <v>8981.3150000000005</v>
      </c>
      <c r="AR270" s="2">
        <v>-1</v>
      </c>
      <c r="AS270" s="2">
        <v>-1</v>
      </c>
      <c r="AT270" s="2">
        <v>-1</v>
      </c>
      <c r="AU270" s="3">
        <v>103.12281449698681</v>
      </c>
      <c r="AV270" s="3">
        <v>1.6666666666666667</v>
      </c>
      <c r="AW270" s="16">
        <v>5788.92</v>
      </c>
      <c r="AX270" s="15">
        <v>9125.0950000000012</v>
      </c>
    </row>
    <row r="271" spans="2:50" x14ac:dyDescent="0.25">
      <c r="B271" s="24" t="s">
        <v>18</v>
      </c>
      <c r="AF271" s="36" t="s">
        <v>18</v>
      </c>
      <c r="AG271" s="15">
        <v>8981.3150000000005</v>
      </c>
      <c r="AH271" s="2">
        <v>-1</v>
      </c>
      <c r="AI271" s="2">
        <v>-1</v>
      </c>
      <c r="AJ271" s="2">
        <v>-1</v>
      </c>
      <c r="AK271" s="38">
        <v>103.12281449698681</v>
      </c>
      <c r="AL271" s="38">
        <v>1.6666666666666667</v>
      </c>
      <c r="AM271" s="52">
        <v>5788.92</v>
      </c>
      <c r="AN271" s="15">
        <v>9125.0950000000012</v>
      </c>
      <c r="AP271" s="36" t="s">
        <v>19</v>
      </c>
      <c r="AQ271" s="15">
        <v>9161.74</v>
      </c>
      <c r="AR271" s="2">
        <v>-1</v>
      </c>
      <c r="AS271" s="2">
        <v>-1</v>
      </c>
      <c r="AT271" s="2">
        <v>-1</v>
      </c>
      <c r="AU271" s="3">
        <v>103.74155138396873</v>
      </c>
      <c r="AV271" s="3">
        <v>1.5</v>
      </c>
      <c r="AW271" s="16">
        <v>6131.29</v>
      </c>
      <c r="AX271" s="15">
        <v>8981.3150000000005</v>
      </c>
    </row>
    <row r="272" spans="2:50" x14ac:dyDescent="0.25">
      <c r="B272" s="24" t="s">
        <v>19</v>
      </c>
      <c r="AF272" s="36" t="s">
        <v>19</v>
      </c>
      <c r="AG272" s="15">
        <v>9161.74</v>
      </c>
      <c r="AH272" s="2">
        <v>-1</v>
      </c>
      <c r="AI272" s="2">
        <v>-1</v>
      </c>
      <c r="AJ272" s="2">
        <v>-1</v>
      </c>
      <c r="AK272" s="38">
        <v>103.74155138396873</v>
      </c>
      <c r="AL272" s="38">
        <v>1.5</v>
      </c>
      <c r="AM272" s="52">
        <v>6131.29</v>
      </c>
      <c r="AN272" s="15">
        <v>8981.3150000000005</v>
      </c>
    </row>
    <row r="273" spans="36:38" x14ac:dyDescent="0.25">
      <c r="AJ273" s="46"/>
      <c r="AK273" s="26"/>
      <c r="AL273" s="46"/>
    </row>
    <row r="274" spans="36:38" x14ac:dyDescent="0.25">
      <c r="AJ274" s="46"/>
      <c r="AK274" s="46"/>
      <c r="AL274" s="46"/>
    </row>
    <row r="275" spans="36:38" x14ac:dyDescent="0.25">
      <c r="AJ275" s="46"/>
      <c r="AK275" s="46"/>
      <c r="AL275" s="4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J18" sqref="J18"/>
    </sheetView>
  </sheetViews>
  <sheetFormatPr defaultRowHeight="15" x14ac:dyDescent="0.25"/>
  <cols>
    <col min="2" max="2" width="12.140625" customWidth="1"/>
    <col min="3" max="3" width="13.7109375" customWidth="1"/>
    <col min="4" max="4" width="14.5703125" customWidth="1"/>
    <col min="5" max="5" width="13" customWidth="1"/>
    <col min="6" max="6" width="11.5703125" customWidth="1"/>
    <col min="7" max="7" width="11.85546875" customWidth="1"/>
    <col min="8" max="8" width="8.42578125" customWidth="1"/>
  </cols>
  <sheetData>
    <row r="1" spans="1:8" x14ac:dyDescent="0.25">
      <c r="A1" t="str">
        <f>Zbiorcza!AF4</f>
        <v>Kw</v>
      </c>
      <c r="B1" t="str">
        <f>Zbiorcza!AG4</f>
        <v>Cena</v>
      </c>
      <c r="C1" t="str">
        <f>Zbiorcza!AH4</f>
        <v>M_do35</v>
      </c>
      <c r="D1" t="str">
        <f>Zbiorcza!AI4</f>
        <v>M_35-50</v>
      </c>
      <c r="E1" t="str">
        <f>Zbiorcza!AJ4</f>
        <v>M_50-80</v>
      </c>
      <c r="F1" t="str">
        <f>Zbiorcza!AK4</f>
        <v>Wsk_cen</v>
      </c>
      <c r="G1" t="str">
        <f>Zbiorcza!AL4</f>
        <v>Bezr</v>
      </c>
      <c r="H1" t="str">
        <f>Zbiorcza!AM4</f>
        <v>W</v>
      </c>
    </row>
    <row r="2" spans="1:8" x14ac:dyDescent="0.25">
      <c r="A2" t="str">
        <f>Zbiorcza!AF5</f>
        <v>I 2015</v>
      </c>
      <c r="B2">
        <f>Zbiorcza!AG5</f>
        <v>5730.95</v>
      </c>
      <c r="C2">
        <f>Zbiorcza!AH5</f>
        <v>1</v>
      </c>
      <c r="D2">
        <f>Zbiorcza!AI5</f>
        <v>0</v>
      </c>
      <c r="E2">
        <f>Zbiorcza!AJ5</f>
        <v>0</v>
      </c>
      <c r="F2">
        <f>Zbiorcza!AK5</f>
        <v>100</v>
      </c>
      <c r="G2">
        <f>Zbiorcza!AL5</f>
        <v>5.7333333333333334</v>
      </c>
      <c r="H2">
        <f>Zbiorcza!AM5</f>
        <v>4376.7700000000004</v>
      </c>
    </row>
    <row r="3" spans="1:8" x14ac:dyDescent="0.25">
      <c r="A3" t="str">
        <f>Zbiorcza!AF6</f>
        <v>II 2015</v>
      </c>
      <c r="B3">
        <f>Zbiorcza!AG6</f>
        <v>5695.75</v>
      </c>
      <c r="C3">
        <f>Zbiorcza!AH6</f>
        <v>1</v>
      </c>
      <c r="D3">
        <f>Zbiorcza!AI6</f>
        <v>0</v>
      </c>
      <c r="E3">
        <f>Zbiorcza!AJ6</f>
        <v>0</v>
      </c>
      <c r="F3">
        <f>Zbiorcza!AK6</f>
        <v>100.6</v>
      </c>
      <c r="G3">
        <f>Zbiorcza!AL6</f>
        <v>5.333333333333333</v>
      </c>
      <c r="H3">
        <f>Zbiorcza!AM6</f>
        <v>4128.8900000000003</v>
      </c>
    </row>
    <row r="4" spans="1:8" x14ac:dyDescent="0.25">
      <c r="A4" t="str">
        <f>Zbiorcza!AF7</f>
        <v>III 2015</v>
      </c>
      <c r="B4">
        <f>Zbiorcza!AG7</f>
        <v>5617.39</v>
      </c>
      <c r="C4">
        <f>Zbiorcza!AH7</f>
        <v>1</v>
      </c>
      <c r="D4">
        <f>Zbiorcza!AI7</f>
        <v>0</v>
      </c>
      <c r="E4">
        <f>Zbiorcza!AJ7</f>
        <v>0</v>
      </c>
      <c r="F4">
        <f>Zbiorcza!AK7</f>
        <v>100.19759999999999</v>
      </c>
      <c r="G4">
        <f>Zbiorcza!AL7</f>
        <v>4.666666666666667</v>
      </c>
      <c r="H4">
        <f>Zbiorcza!AM7</f>
        <v>4193.17</v>
      </c>
    </row>
    <row r="5" spans="1:8" x14ac:dyDescent="0.25">
      <c r="A5" t="str">
        <f>Zbiorcza!AF8</f>
        <v>IV 2015</v>
      </c>
      <c r="B5">
        <f>Zbiorcza!AG8</f>
        <v>5564.01</v>
      </c>
      <c r="C5">
        <f>Zbiorcza!AH8</f>
        <v>1</v>
      </c>
      <c r="D5">
        <f>Zbiorcza!AI8</f>
        <v>0</v>
      </c>
      <c r="E5">
        <f>Zbiorcza!AJ8</f>
        <v>0</v>
      </c>
      <c r="F5">
        <f>Zbiorcza!AK8</f>
        <v>100.09740240000001</v>
      </c>
      <c r="G5">
        <f>Zbiorcza!AL8</f>
        <v>4.2</v>
      </c>
      <c r="H5">
        <f>Zbiorcza!AM8</f>
        <v>4350</v>
      </c>
    </row>
    <row r="6" spans="1:8" x14ac:dyDescent="0.25">
      <c r="A6" t="str">
        <f>Zbiorcza!AF9</f>
        <v>I 2016</v>
      </c>
      <c r="B6">
        <f>Zbiorcza!AG9</f>
        <v>5413.68</v>
      </c>
      <c r="C6">
        <f>Zbiorcza!AH9</f>
        <v>1</v>
      </c>
      <c r="D6">
        <f>Zbiorcza!AI9</f>
        <v>0</v>
      </c>
      <c r="E6">
        <f>Zbiorcza!AJ9</f>
        <v>0</v>
      </c>
      <c r="F6">
        <f>Zbiorcza!AK9</f>
        <v>99.496817985600018</v>
      </c>
      <c r="G6">
        <f>Zbiorcza!AL9</f>
        <v>4.166666666666667</v>
      </c>
      <c r="H6">
        <f>Zbiorcza!AM9</f>
        <v>4491.63</v>
      </c>
    </row>
    <row r="7" spans="1:8" x14ac:dyDescent="0.25">
      <c r="A7" t="str">
        <f>Zbiorcza!AF10</f>
        <v>II 2016</v>
      </c>
      <c r="B7">
        <f>Zbiorcza!AG10</f>
        <v>5517.48</v>
      </c>
      <c r="C7">
        <f>Zbiorcza!AH10</f>
        <v>1</v>
      </c>
      <c r="D7">
        <f>Zbiorcza!AI10</f>
        <v>0</v>
      </c>
      <c r="E7">
        <f>Zbiorcza!AJ10</f>
        <v>0</v>
      </c>
      <c r="F7">
        <f>Zbiorcza!AK10</f>
        <v>100.09379889351362</v>
      </c>
      <c r="G7">
        <f>Zbiorcza!AL10</f>
        <v>3.8333333333333335</v>
      </c>
      <c r="H7">
        <f>Zbiorcza!AM10</f>
        <v>4333.0600000000004</v>
      </c>
    </row>
    <row r="8" spans="1:8" x14ac:dyDescent="0.25">
      <c r="A8" t="str">
        <f>Zbiorcza!AF11</f>
        <v>III 2016</v>
      </c>
      <c r="B8">
        <f>Zbiorcza!AG11</f>
        <v>5688.82</v>
      </c>
      <c r="C8">
        <f>Zbiorcza!AH11</f>
        <v>1</v>
      </c>
      <c r="D8">
        <f>Zbiorcza!AI11</f>
        <v>0</v>
      </c>
      <c r="E8">
        <f>Zbiorcza!AJ11</f>
        <v>0</v>
      </c>
      <c r="F8">
        <f>Zbiorcza!AK11</f>
        <v>99.993705094620125</v>
      </c>
      <c r="G8">
        <f>Zbiorcza!AL11</f>
        <v>3.7333333333333329</v>
      </c>
      <c r="H8">
        <f>Zbiorcza!AM11</f>
        <v>4352.28</v>
      </c>
    </row>
    <row r="9" spans="1:8" x14ac:dyDescent="0.25">
      <c r="A9" t="str">
        <f>Zbiorcza!AF12</f>
        <v>IV 2016</v>
      </c>
      <c r="B9">
        <f>Zbiorcza!AG12</f>
        <v>5725.84</v>
      </c>
      <c r="C9">
        <f>Zbiorcza!AH12</f>
        <v>1</v>
      </c>
      <c r="D9">
        <f>Zbiorcza!AI12</f>
        <v>0</v>
      </c>
      <c r="E9">
        <f>Zbiorcza!AJ12</f>
        <v>0</v>
      </c>
      <c r="F9">
        <f>Zbiorcza!AK12</f>
        <v>100.69366103028248</v>
      </c>
      <c r="G9">
        <f>Zbiorcza!AL12</f>
        <v>3.6333333333333333</v>
      </c>
      <c r="H9">
        <f>Zbiorcza!AM12</f>
        <v>4467.88</v>
      </c>
    </row>
    <row r="10" spans="1:8" x14ac:dyDescent="0.25">
      <c r="A10" t="str">
        <f>Zbiorcza!AF13</f>
        <v>I 2017</v>
      </c>
      <c r="B10">
        <f>Zbiorcza!AG13</f>
        <v>6043.25</v>
      </c>
      <c r="C10">
        <f>Zbiorcza!AH13</f>
        <v>1</v>
      </c>
      <c r="D10">
        <f>Zbiorcza!AI13</f>
        <v>0</v>
      </c>
      <c r="E10">
        <f>Zbiorcza!AJ13</f>
        <v>0</v>
      </c>
      <c r="F10">
        <f>Zbiorcza!AK13</f>
        <v>101.70059764058531</v>
      </c>
      <c r="G10">
        <f>Zbiorcza!AL13</f>
        <v>3.6</v>
      </c>
      <c r="H10">
        <f>Zbiorcza!AM13</f>
        <v>4697.92</v>
      </c>
    </row>
    <row r="11" spans="1:8" x14ac:dyDescent="0.25">
      <c r="A11" t="str">
        <f>Zbiorcza!AF14</f>
        <v>II 2017</v>
      </c>
      <c r="B11">
        <f>Zbiorcza!AG14</f>
        <v>6283.44</v>
      </c>
      <c r="C11">
        <f>Zbiorcza!AH14</f>
        <v>1</v>
      </c>
      <c r="D11">
        <f>Zbiorcza!AI14</f>
        <v>0</v>
      </c>
      <c r="E11">
        <f>Zbiorcza!AJ14</f>
        <v>0</v>
      </c>
      <c r="F11">
        <f>Zbiorcza!AK14</f>
        <v>102.10740003114766</v>
      </c>
      <c r="G11">
        <f>Zbiorcza!AL14</f>
        <v>3.4</v>
      </c>
      <c r="H11">
        <f>Zbiorcza!AM14</f>
        <v>4501.59</v>
      </c>
    </row>
    <row r="12" spans="1:8" x14ac:dyDescent="0.25">
      <c r="A12" t="str">
        <f>Zbiorcza!AF15</f>
        <v>III 2017</v>
      </c>
      <c r="B12">
        <f>Zbiorcza!AG15</f>
        <v>6574.0069999999996</v>
      </c>
      <c r="C12">
        <f>Zbiorcza!AH15</f>
        <v>1</v>
      </c>
      <c r="D12">
        <f>Zbiorcza!AI15</f>
        <v>0</v>
      </c>
      <c r="E12">
        <f>Zbiorcza!AJ15</f>
        <v>0</v>
      </c>
      <c r="F12">
        <f>Zbiorcza!AK15</f>
        <v>101.90318523108537</v>
      </c>
      <c r="G12">
        <f>Zbiorcza!AL15</f>
        <v>3.2666666666666671</v>
      </c>
      <c r="H12">
        <f>Zbiorcza!AM15</f>
        <v>4544.1400000000003</v>
      </c>
    </row>
    <row r="13" spans="1:8" x14ac:dyDescent="0.25">
      <c r="A13" t="str">
        <f>Zbiorcza!AF16</f>
        <v>IV 2017</v>
      </c>
      <c r="B13">
        <f>Zbiorcza!AG16</f>
        <v>6713.74</v>
      </c>
      <c r="C13">
        <f>Zbiorcza!AH16</f>
        <v>1</v>
      </c>
      <c r="D13">
        <f>Zbiorcza!AI16</f>
        <v>0</v>
      </c>
      <c r="E13">
        <f>Zbiorcza!AJ16</f>
        <v>0</v>
      </c>
      <c r="F13">
        <f>Zbiorcza!AK16</f>
        <v>102.92221708339623</v>
      </c>
      <c r="G13">
        <f>Zbiorcza!AL16</f>
        <v>2.9</v>
      </c>
      <c r="H13">
        <f>Zbiorcza!AM16</f>
        <v>4779.32</v>
      </c>
    </row>
    <row r="14" spans="1:8" x14ac:dyDescent="0.25">
      <c r="A14" t="str">
        <f>Zbiorcza!AF17</f>
        <v>I 2018</v>
      </c>
      <c r="B14">
        <f>Zbiorcza!AG17</f>
        <v>7352.7830000000004</v>
      </c>
      <c r="C14">
        <f>Zbiorcza!AH17</f>
        <v>1</v>
      </c>
      <c r="D14">
        <f>Zbiorcza!AI17</f>
        <v>0</v>
      </c>
      <c r="E14">
        <f>Zbiorcza!AJ17</f>
        <v>0</v>
      </c>
      <c r="F14">
        <f>Zbiorcza!AK17</f>
        <v>103.33390595172982</v>
      </c>
      <c r="G14">
        <f>Zbiorcza!AL17</f>
        <v>2.7999999999999994</v>
      </c>
      <c r="H14">
        <f>Zbiorcza!AM17</f>
        <v>4948.0600000000004</v>
      </c>
    </row>
    <row r="15" spans="1:8" x14ac:dyDescent="0.25">
      <c r="A15" t="str">
        <f>Zbiorcza!AF18</f>
        <v>II 2018</v>
      </c>
      <c r="B15">
        <f>Zbiorcza!AG18</f>
        <v>7419.03</v>
      </c>
      <c r="C15">
        <f>Zbiorcza!AH18</f>
        <v>1</v>
      </c>
      <c r="D15">
        <f>Zbiorcza!AI18</f>
        <v>0</v>
      </c>
      <c r="E15">
        <f>Zbiorcza!AJ18</f>
        <v>0</v>
      </c>
      <c r="F15">
        <f>Zbiorcza!AK18</f>
        <v>104.26391110529539</v>
      </c>
      <c r="G15">
        <f>Zbiorcza!AL18</f>
        <v>2.6666666666666665</v>
      </c>
      <c r="H15">
        <f>Zbiorcza!AM18</f>
        <v>4762.92</v>
      </c>
    </row>
    <row r="16" spans="1:8" x14ac:dyDescent="0.25">
      <c r="A16" t="str">
        <f>Zbiorcza!AF19</f>
        <v>III 2018</v>
      </c>
      <c r="B16">
        <f>Zbiorcza!AG19</f>
        <v>7530.442</v>
      </c>
      <c r="C16">
        <f>Zbiorcza!AH19</f>
        <v>1</v>
      </c>
      <c r="D16">
        <f>Zbiorcza!AI19</f>
        <v>0</v>
      </c>
      <c r="E16">
        <f>Zbiorcza!AJ19</f>
        <v>0</v>
      </c>
      <c r="F16">
        <f>Zbiorcza!AK19</f>
        <v>104.15964719419011</v>
      </c>
      <c r="G16">
        <f>Zbiorcza!AL19</f>
        <v>2.6</v>
      </c>
      <c r="H16">
        <f>Zbiorcza!AM19</f>
        <v>4868.6400000000003</v>
      </c>
    </row>
    <row r="17" spans="1:8" x14ac:dyDescent="0.25">
      <c r="A17" t="str">
        <f>Zbiorcza!AF20</f>
        <v>IV 2018</v>
      </c>
      <c r="B17">
        <f>Zbiorcza!AG20</f>
        <v>7725.84</v>
      </c>
      <c r="C17">
        <f>Zbiorcza!AH20</f>
        <v>1</v>
      </c>
      <c r="D17">
        <f>Zbiorcza!AI20</f>
        <v>0</v>
      </c>
      <c r="E17">
        <f>Zbiorcza!AJ20</f>
        <v>0</v>
      </c>
      <c r="F17">
        <f>Zbiorcza!AK20</f>
        <v>104.57628578296688</v>
      </c>
      <c r="G17">
        <f>Zbiorcza!AL20</f>
        <v>2.6</v>
      </c>
      <c r="H17">
        <f>Zbiorcza!AM20</f>
        <v>5097.63</v>
      </c>
    </row>
    <row r="18" spans="1:8" x14ac:dyDescent="0.25">
      <c r="A18" t="str">
        <f>Zbiorcza!AF21</f>
        <v>I 2015</v>
      </c>
      <c r="B18">
        <f>Zbiorcza!AG21</f>
        <v>5428.1350000000002</v>
      </c>
      <c r="C18">
        <f>Zbiorcza!AH21</f>
        <v>0</v>
      </c>
      <c r="D18">
        <f>Zbiorcza!AI21</f>
        <v>1</v>
      </c>
      <c r="E18">
        <f>Zbiorcza!AJ21</f>
        <v>0</v>
      </c>
      <c r="F18">
        <f>Zbiorcza!AK21</f>
        <v>100</v>
      </c>
      <c r="G18">
        <f>Zbiorcza!AL21</f>
        <v>5.7333333333333334</v>
      </c>
      <c r="H18">
        <f>Zbiorcza!AM21</f>
        <v>4376.7700000000004</v>
      </c>
    </row>
    <row r="19" spans="1:8" x14ac:dyDescent="0.25">
      <c r="A19" t="str">
        <f>Zbiorcza!AF22</f>
        <v>II 2015</v>
      </c>
      <c r="B19">
        <f>Zbiorcza!AG22</f>
        <v>5348.87</v>
      </c>
      <c r="C19">
        <f>Zbiorcza!AH22</f>
        <v>0</v>
      </c>
      <c r="D19">
        <f>Zbiorcza!AI22</f>
        <v>1</v>
      </c>
      <c r="E19">
        <f>Zbiorcza!AJ22</f>
        <v>0</v>
      </c>
      <c r="F19">
        <f>Zbiorcza!AK22</f>
        <v>100.6</v>
      </c>
      <c r="G19">
        <f>Zbiorcza!AL22</f>
        <v>5.333333333333333</v>
      </c>
      <c r="H19">
        <f>Zbiorcza!AM22</f>
        <v>4128.8900000000003</v>
      </c>
    </row>
    <row r="20" spans="1:8" x14ac:dyDescent="0.25">
      <c r="A20" t="str">
        <f>Zbiorcza!AF23</f>
        <v>III 2015</v>
      </c>
      <c r="B20">
        <f>Zbiorcza!AG23</f>
        <v>5513.6149999999998</v>
      </c>
      <c r="C20">
        <f>Zbiorcza!AH23</f>
        <v>0</v>
      </c>
      <c r="D20">
        <f>Zbiorcza!AI23</f>
        <v>1</v>
      </c>
      <c r="E20">
        <f>Zbiorcza!AJ23</f>
        <v>0</v>
      </c>
      <c r="F20">
        <f>Zbiorcza!AK23</f>
        <v>100.19759999999999</v>
      </c>
      <c r="G20">
        <f>Zbiorcza!AL23</f>
        <v>4.666666666666667</v>
      </c>
      <c r="H20">
        <f>Zbiorcza!AM23</f>
        <v>4193.17</v>
      </c>
    </row>
    <row r="21" spans="1:8" x14ac:dyDescent="0.25">
      <c r="A21" t="str">
        <f>Zbiorcza!AF24</f>
        <v>IV 2015</v>
      </c>
      <c r="B21">
        <f>Zbiorcza!AG24</f>
        <v>5451.9949999999999</v>
      </c>
      <c r="C21">
        <f>Zbiorcza!AH24</f>
        <v>0</v>
      </c>
      <c r="D21">
        <f>Zbiorcza!AI24</f>
        <v>1</v>
      </c>
      <c r="E21">
        <f>Zbiorcza!AJ24</f>
        <v>0</v>
      </c>
      <c r="F21">
        <f>Zbiorcza!AK24</f>
        <v>100.09740240000001</v>
      </c>
      <c r="G21">
        <f>Zbiorcza!AL24</f>
        <v>4.2</v>
      </c>
      <c r="H21">
        <f>Zbiorcza!AM24</f>
        <v>4350</v>
      </c>
    </row>
    <row r="22" spans="1:8" x14ac:dyDescent="0.25">
      <c r="A22" t="str">
        <f>Zbiorcza!AF25</f>
        <v>I 2016</v>
      </c>
      <c r="B22">
        <f>Zbiorcza!AG25</f>
        <v>5397.72</v>
      </c>
      <c r="C22">
        <f>Zbiorcza!AH25</f>
        <v>0</v>
      </c>
      <c r="D22">
        <f>Zbiorcza!AI25</f>
        <v>1</v>
      </c>
      <c r="E22">
        <f>Zbiorcza!AJ25</f>
        <v>0</v>
      </c>
      <c r="F22">
        <f>Zbiorcza!AK25</f>
        <v>99.496817985600018</v>
      </c>
      <c r="G22">
        <f>Zbiorcza!AL25</f>
        <v>4.166666666666667</v>
      </c>
      <c r="H22">
        <f>Zbiorcza!AM25</f>
        <v>4491.63</v>
      </c>
    </row>
    <row r="23" spans="1:8" x14ac:dyDescent="0.25">
      <c r="A23" t="str">
        <f>Zbiorcza!AF26</f>
        <v>II 2016</v>
      </c>
      <c r="B23">
        <f>Zbiorcza!AG26</f>
        <v>5356.88</v>
      </c>
      <c r="C23">
        <f>Zbiorcza!AH26</f>
        <v>0</v>
      </c>
      <c r="D23">
        <f>Zbiorcza!AI26</f>
        <v>1</v>
      </c>
      <c r="E23">
        <f>Zbiorcza!AJ26</f>
        <v>0</v>
      </c>
      <c r="F23">
        <f>Zbiorcza!AK26</f>
        <v>100.09379889351362</v>
      </c>
      <c r="G23">
        <f>Zbiorcza!AL26</f>
        <v>3.8333333333333335</v>
      </c>
      <c r="H23">
        <f>Zbiorcza!AM26</f>
        <v>4333.0600000000004</v>
      </c>
    </row>
    <row r="24" spans="1:8" x14ac:dyDescent="0.25">
      <c r="A24" t="str">
        <f>Zbiorcza!AF27</f>
        <v>III 2016</v>
      </c>
      <c r="B24">
        <f>Zbiorcza!AG27</f>
        <v>5451.58</v>
      </c>
      <c r="C24">
        <f>Zbiorcza!AH27</f>
        <v>0</v>
      </c>
      <c r="D24">
        <f>Zbiorcza!AI27</f>
        <v>1</v>
      </c>
      <c r="E24">
        <f>Zbiorcza!AJ27</f>
        <v>0</v>
      </c>
      <c r="F24">
        <f>Zbiorcza!AK27</f>
        <v>99.993705094620125</v>
      </c>
      <c r="G24">
        <f>Zbiorcza!AL27</f>
        <v>3.7333333333333329</v>
      </c>
      <c r="H24">
        <f>Zbiorcza!AM27</f>
        <v>4352.28</v>
      </c>
    </row>
    <row r="25" spans="1:8" x14ac:dyDescent="0.25">
      <c r="A25" t="str">
        <f>Zbiorcza!AF28</f>
        <v>IV 2016</v>
      </c>
      <c r="B25">
        <f>Zbiorcza!AG28</f>
        <v>5607.6399999999994</v>
      </c>
      <c r="C25">
        <f>Zbiorcza!AH28</f>
        <v>0</v>
      </c>
      <c r="D25">
        <f>Zbiorcza!AI28</f>
        <v>1</v>
      </c>
      <c r="E25">
        <f>Zbiorcza!AJ28</f>
        <v>0</v>
      </c>
      <c r="F25">
        <f>Zbiorcza!AK28</f>
        <v>100.69366103028248</v>
      </c>
      <c r="G25">
        <f>Zbiorcza!AL28</f>
        <v>3.6333333333333333</v>
      </c>
      <c r="H25">
        <f>Zbiorcza!AM28</f>
        <v>4467.88</v>
      </c>
    </row>
    <row r="26" spans="1:8" x14ac:dyDescent="0.25">
      <c r="A26" t="str">
        <f>Zbiorcza!AF29</f>
        <v>I 2017</v>
      </c>
      <c r="B26">
        <f>Zbiorcza!AG29</f>
        <v>5775.58</v>
      </c>
      <c r="C26">
        <f>Zbiorcza!AH29</f>
        <v>0</v>
      </c>
      <c r="D26">
        <f>Zbiorcza!AI29</f>
        <v>1</v>
      </c>
      <c r="E26">
        <f>Zbiorcza!AJ29</f>
        <v>0</v>
      </c>
      <c r="F26">
        <f>Zbiorcza!AK29</f>
        <v>101.70059764058531</v>
      </c>
      <c r="G26">
        <f>Zbiorcza!AL29</f>
        <v>3.6</v>
      </c>
      <c r="H26">
        <f>Zbiorcza!AM29</f>
        <v>4697.92</v>
      </c>
    </row>
    <row r="27" spans="1:8" x14ac:dyDescent="0.25">
      <c r="A27" t="str">
        <f>Zbiorcza!AF30</f>
        <v>II 2017</v>
      </c>
      <c r="B27">
        <f>Zbiorcza!AG30</f>
        <v>5911.4430000000002</v>
      </c>
      <c r="C27">
        <f>Zbiorcza!AH30</f>
        <v>0</v>
      </c>
      <c r="D27">
        <f>Zbiorcza!AI30</f>
        <v>1</v>
      </c>
      <c r="E27">
        <f>Zbiorcza!AJ30</f>
        <v>0</v>
      </c>
      <c r="F27">
        <f>Zbiorcza!AK30</f>
        <v>102.10740003114766</v>
      </c>
      <c r="G27">
        <f>Zbiorcza!AL30</f>
        <v>3.4</v>
      </c>
      <c r="H27">
        <f>Zbiorcza!AM30</f>
        <v>4501.59</v>
      </c>
    </row>
    <row r="28" spans="1:8" x14ac:dyDescent="0.25">
      <c r="A28" t="str">
        <f>Zbiorcza!AF31</f>
        <v>III 2017</v>
      </c>
      <c r="B28">
        <f>Zbiorcza!AG31</f>
        <v>6077.2615000000005</v>
      </c>
      <c r="C28">
        <f>Zbiorcza!AH31</f>
        <v>0</v>
      </c>
      <c r="D28">
        <f>Zbiorcza!AI31</f>
        <v>1</v>
      </c>
      <c r="E28">
        <f>Zbiorcza!AJ31</f>
        <v>0</v>
      </c>
      <c r="F28">
        <f>Zbiorcza!AK31</f>
        <v>101.90318523108537</v>
      </c>
      <c r="G28">
        <f>Zbiorcza!AL31</f>
        <v>3.2666666666666671</v>
      </c>
      <c r="H28">
        <f>Zbiorcza!AM31</f>
        <v>4544.1400000000003</v>
      </c>
    </row>
    <row r="29" spans="1:8" x14ac:dyDescent="0.25">
      <c r="A29" t="str">
        <f>Zbiorcza!AF32</f>
        <v>IV 2017</v>
      </c>
      <c r="B29">
        <f>Zbiorcza!AG32</f>
        <v>6271.4</v>
      </c>
      <c r="C29">
        <f>Zbiorcza!AH32</f>
        <v>0</v>
      </c>
      <c r="D29">
        <f>Zbiorcza!AI32</f>
        <v>1</v>
      </c>
      <c r="E29">
        <f>Zbiorcza!AJ32</f>
        <v>0</v>
      </c>
      <c r="F29">
        <f>Zbiorcza!AK32</f>
        <v>102.92221708339623</v>
      </c>
      <c r="G29">
        <f>Zbiorcza!AL32</f>
        <v>2.9</v>
      </c>
      <c r="H29">
        <f>Zbiorcza!AM32</f>
        <v>4779.32</v>
      </c>
    </row>
    <row r="30" spans="1:8" x14ac:dyDescent="0.25">
      <c r="A30" t="str">
        <f>Zbiorcza!AF33</f>
        <v>I 2018</v>
      </c>
      <c r="B30">
        <f>Zbiorcza!AG33</f>
        <v>6723.4395000000004</v>
      </c>
      <c r="C30">
        <f>Zbiorcza!AH33</f>
        <v>0</v>
      </c>
      <c r="D30">
        <f>Zbiorcza!AI33</f>
        <v>1</v>
      </c>
      <c r="E30">
        <f>Zbiorcza!AJ33</f>
        <v>0</v>
      </c>
      <c r="F30">
        <f>Zbiorcza!AK33</f>
        <v>103.33390595172982</v>
      </c>
      <c r="G30">
        <f>Zbiorcza!AL33</f>
        <v>2.7999999999999994</v>
      </c>
      <c r="H30">
        <f>Zbiorcza!AM33</f>
        <v>4948.0600000000004</v>
      </c>
    </row>
    <row r="31" spans="1:8" x14ac:dyDescent="0.25">
      <c r="A31" t="str">
        <f>Zbiorcza!AF34</f>
        <v>II 2018</v>
      </c>
      <c r="B31">
        <f>Zbiorcza!AG34</f>
        <v>7004.4259999999995</v>
      </c>
      <c r="C31">
        <f>Zbiorcza!AH34</f>
        <v>0</v>
      </c>
      <c r="D31">
        <f>Zbiorcza!AI34</f>
        <v>1</v>
      </c>
      <c r="E31">
        <f>Zbiorcza!AJ34</f>
        <v>0</v>
      </c>
      <c r="F31">
        <f>Zbiorcza!AK34</f>
        <v>104.26391110529539</v>
      </c>
      <c r="G31">
        <f>Zbiorcza!AL34</f>
        <v>2.6666666666666665</v>
      </c>
      <c r="H31">
        <f>Zbiorcza!AM34</f>
        <v>4762.92</v>
      </c>
    </row>
    <row r="32" spans="1:8" x14ac:dyDescent="0.25">
      <c r="A32" t="str">
        <f>Zbiorcza!AF35</f>
        <v>III 2018</v>
      </c>
      <c r="B32">
        <f>Zbiorcza!AG35</f>
        <v>7034.1040000000003</v>
      </c>
      <c r="C32">
        <f>Zbiorcza!AH35</f>
        <v>0</v>
      </c>
      <c r="D32">
        <f>Zbiorcza!AI35</f>
        <v>1</v>
      </c>
      <c r="E32">
        <f>Zbiorcza!AJ35</f>
        <v>0</v>
      </c>
      <c r="F32">
        <f>Zbiorcza!AK35</f>
        <v>104.15964719419011</v>
      </c>
      <c r="G32">
        <f>Zbiorcza!AL35</f>
        <v>2.6</v>
      </c>
      <c r="H32">
        <f>Zbiorcza!AM35</f>
        <v>4868.6400000000003</v>
      </c>
    </row>
    <row r="33" spans="1:8" x14ac:dyDescent="0.25">
      <c r="A33" t="str">
        <f>Zbiorcza!AF36</f>
        <v>IV 2018</v>
      </c>
      <c r="B33">
        <f>Zbiorcza!AG36</f>
        <v>7093.89</v>
      </c>
      <c r="C33">
        <f>Zbiorcza!AH36</f>
        <v>0</v>
      </c>
      <c r="D33">
        <f>Zbiorcza!AI36</f>
        <v>1</v>
      </c>
      <c r="E33">
        <f>Zbiorcza!AJ36</f>
        <v>0</v>
      </c>
      <c r="F33">
        <f>Zbiorcza!AK36</f>
        <v>104.57628578296688</v>
      </c>
      <c r="G33">
        <f>Zbiorcza!AL36</f>
        <v>2.6</v>
      </c>
      <c r="H33">
        <f>Zbiorcza!AM36</f>
        <v>5097.63</v>
      </c>
    </row>
    <row r="34" spans="1:8" x14ac:dyDescent="0.25">
      <c r="A34" t="str">
        <f>Zbiorcza!AF37</f>
        <v>I 2015</v>
      </c>
      <c r="B34">
        <f>Zbiorcza!AG37</f>
        <v>5487.3499999999995</v>
      </c>
      <c r="C34">
        <f>Zbiorcza!AH37</f>
        <v>0</v>
      </c>
      <c r="D34">
        <f>Zbiorcza!AI37</f>
        <v>0</v>
      </c>
      <c r="E34">
        <f>Zbiorcza!AJ37</f>
        <v>1</v>
      </c>
      <c r="F34">
        <f>Zbiorcza!AK37</f>
        <v>100</v>
      </c>
      <c r="G34">
        <f>Zbiorcza!AL37</f>
        <v>5.7333333333333334</v>
      </c>
      <c r="H34">
        <f>Zbiorcza!AM37</f>
        <v>4376.7700000000004</v>
      </c>
    </row>
    <row r="35" spans="1:8" x14ac:dyDescent="0.25">
      <c r="A35" t="str">
        <f>Zbiorcza!AF38</f>
        <v>II 2015</v>
      </c>
      <c r="B35">
        <f>Zbiorcza!AG38</f>
        <v>5490.06</v>
      </c>
      <c r="C35">
        <f>Zbiorcza!AH38</f>
        <v>0</v>
      </c>
      <c r="D35">
        <f>Zbiorcza!AI38</f>
        <v>0</v>
      </c>
      <c r="E35">
        <f>Zbiorcza!AJ38</f>
        <v>1</v>
      </c>
      <c r="F35">
        <f>Zbiorcza!AK38</f>
        <v>100.6</v>
      </c>
      <c r="G35">
        <f>Zbiorcza!AL38</f>
        <v>5.333333333333333</v>
      </c>
      <c r="H35">
        <f>Zbiorcza!AM38</f>
        <v>4128.8900000000003</v>
      </c>
    </row>
    <row r="36" spans="1:8" x14ac:dyDescent="0.25">
      <c r="A36" t="str">
        <f>Zbiorcza!AF39</f>
        <v>III 2015</v>
      </c>
      <c r="B36">
        <f>Zbiorcza!AG39</f>
        <v>5442.68</v>
      </c>
      <c r="C36">
        <f>Zbiorcza!AH39</f>
        <v>0</v>
      </c>
      <c r="D36">
        <f>Zbiorcza!AI39</f>
        <v>0</v>
      </c>
      <c r="E36">
        <f>Zbiorcza!AJ39</f>
        <v>1</v>
      </c>
      <c r="F36">
        <f>Zbiorcza!AK39</f>
        <v>100.19759999999999</v>
      </c>
      <c r="G36">
        <f>Zbiorcza!AL39</f>
        <v>4.666666666666667</v>
      </c>
      <c r="H36">
        <f>Zbiorcza!AM39</f>
        <v>4193.17</v>
      </c>
    </row>
    <row r="37" spans="1:8" x14ac:dyDescent="0.25">
      <c r="A37" t="str">
        <f>Zbiorcza!AF40</f>
        <v>IV 2015</v>
      </c>
      <c r="B37">
        <f>Zbiorcza!AG40</f>
        <v>5416.5766666666668</v>
      </c>
      <c r="C37">
        <f>Zbiorcza!AH40</f>
        <v>0</v>
      </c>
      <c r="D37">
        <f>Zbiorcza!AI40</f>
        <v>0</v>
      </c>
      <c r="E37">
        <f>Zbiorcza!AJ40</f>
        <v>1</v>
      </c>
      <c r="F37">
        <f>Zbiorcza!AK40</f>
        <v>100.09740240000001</v>
      </c>
      <c r="G37">
        <f>Zbiorcza!AL40</f>
        <v>4.2</v>
      </c>
      <c r="H37">
        <f>Zbiorcza!AM40</f>
        <v>4350</v>
      </c>
    </row>
    <row r="38" spans="1:8" x14ac:dyDescent="0.25">
      <c r="A38" t="str">
        <f>Zbiorcza!AF41</f>
        <v>I 2016</v>
      </c>
      <c r="B38">
        <f>Zbiorcza!AG41</f>
        <v>5336.2366666666667</v>
      </c>
      <c r="C38">
        <f>Zbiorcza!AH41</f>
        <v>0</v>
      </c>
      <c r="D38">
        <f>Zbiorcza!AI41</f>
        <v>0</v>
      </c>
      <c r="E38">
        <f>Zbiorcza!AJ41</f>
        <v>1</v>
      </c>
      <c r="F38">
        <f>Zbiorcza!AK41</f>
        <v>99.496817985600018</v>
      </c>
      <c r="G38">
        <f>Zbiorcza!AL41</f>
        <v>4.166666666666667</v>
      </c>
      <c r="H38">
        <f>Zbiorcza!AM41</f>
        <v>4491.63</v>
      </c>
    </row>
    <row r="39" spans="1:8" x14ac:dyDescent="0.25">
      <c r="A39" t="str">
        <f>Zbiorcza!AF42</f>
        <v>II 2016</v>
      </c>
      <c r="B39">
        <f>Zbiorcza!AG42</f>
        <v>5248.9066666666668</v>
      </c>
      <c r="C39">
        <f>Zbiorcza!AH42</f>
        <v>0</v>
      </c>
      <c r="D39">
        <f>Zbiorcza!AI42</f>
        <v>0</v>
      </c>
      <c r="E39">
        <f>Zbiorcza!AJ42</f>
        <v>1</v>
      </c>
      <c r="F39">
        <f>Zbiorcza!AK42</f>
        <v>100.09379889351362</v>
      </c>
      <c r="G39">
        <f>Zbiorcza!AL42</f>
        <v>3.8333333333333335</v>
      </c>
      <c r="H39">
        <f>Zbiorcza!AM42</f>
        <v>4333.0600000000004</v>
      </c>
    </row>
    <row r="40" spans="1:8" x14ac:dyDescent="0.25">
      <c r="A40" t="str">
        <f>Zbiorcza!AF43</f>
        <v>III 2016</v>
      </c>
      <c r="B40">
        <f>Zbiorcza!AG43</f>
        <v>5375.5133333333333</v>
      </c>
      <c r="C40">
        <f>Zbiorcza!AH43</f>
        <v>0</v>
      </c>
      <c r="D40">
        <f>Zbiorcza!AI43</f>
        <v>0</v>
      </c>
      <c r="E40">
        <f>Zbiorcza!AJ43</f>
        <v>1</v>
      </c>
      <c r="F40">
        <f>Zbiorcza!AK43</f>
        <v>99.993705094620125</v>
      </c>
      <c r="G40">
        <f>Zbiorcza!AL43</f>
        <v>3.7333333333333329</v>
      </c>
      <c r="H40">
        <f>Zbiorcza!AM43</f>
        <v>4352.28</v>
      </c>
    </row>
    <row r="41" spans="1:8" x14ac:dyDescent="0.25">
      <c r="A41" t="str">
        <f>Zbiorcza!AF44</f>
        <v>IV 2016</v>
      </c>
      <c r="B41">
        <f>Zbiorcza!AG44</f>
        <v>5504.05</v>
      </c>
      <c r="C41">
        <f>Zbiorcza!AH44</f>
        <v>0</v>
      </c>
      <c r="D41">
        <f>Zbiorcza!AI44</f>
        <v>0</v>
      </c>
      <c r="E41">
        <f>Zbiorcza!AJ44</f>
        <v>1</v>
      </c>
      <c r="F41">
        <f>Zbiorcza!AK44</f>
        <v>100.69366103028248</v>
      </c>
      <c r="G41">
        <f>Zbiorcza!AL44</f>
        <v>3.6333333333333333</v>
      </c>
      <c r="H41">
        <f>Zbiorcza!AM44</f>
        <v>4467.88</v>
      </c>
    </row>
    <row r="42" spans="1:8" x14ac:dyDescent="0.25">
      <c r="A42" t="str">
        <f>Zbiorcza!AF45</f>
        <v>I 2017</v>
      </c>
      <c r="B42">
        <f>Zbiorcza!AG45</f>
        <v>5683.53</v>
      </c>
      <c r="C42">
        <f>Zbiorcza!AH45</f>
        <v>0</v>
      </c>
      <c r="D42">
        <f>Zbiorcza!AI45</f>
        <v>0</v>
      </c>
      <c r="E42">
        <f>Zbiorcza!AJ45</f>
        <v>1</v>
      </c>
      <c r="F42">
        <f>Zbiorcza!AK45</f>
        <v>101.70059764058531</v>
      </c>
      <c r="G42">
        <f>Zbiorcza!AL45</f>
        <v>3.6</v>
      </c>
      <c r="H42">
        <f>Zbiorcza!AM45</f>
        <v>4697.92</v>
      </c>
    </row>
    <row r="43" spans="1:8" x14ac:dyDescent="0.25">
      <c r="A43" t="str">
        <f>Zbiorcza!AF46</f>
        <v>II 2017</v>
      </c>
      <c r="B43">
        <f>Zbiorcza!AG46</f>
        <v>5872.2353333333331</v>
      </c>
      <c r="C43">
        <f>Zbiorcza!AH46</f>
        <v>0</v>
      </c>
      <c r="D43">
        <f>Zbiorcza!AI46</f>
        <v>0</v>
      </c>
      <c r="E43">
        <f>Zbiorcza!AJ46</f>
        <v>1</v>
      </c>
      <c r="F43">
        <f>Zbiorcza!AK46</f>
        <v>102.10740003114766</v>
      </c>
      <c r="G43">
        <f>Zbiorcza!AL46</f>
        <v>3.4</v>
      </c>
      <c r="H43">
        <f>Zbiorcza!AM46</f>
        <v>4501.59</v>
      </c>
    </row>
    <row r="44" spans="1:8" x14ac:dyDescent="0.25">
      <c r="A44" t="str">
        <f>Zbiorcza!AF47</f>
        <v>III 2017</v>
      </c>
      <c r="B44">
        <f>Zbiorcza!AG47</f>
        <v>6070.808</v>
      </c>
      <c r="C44">
        <f>Zbiorcza!AH47</f>
        <v>0</v>
      </c>
      <c r="D44">
        <f>Zbiorcza!AI47</f>
        <v>0</v>
      </c>
      <c r="E44">
        <f>Zbiorcza!AJ47</f>
        <v>1</v>
      </c>
      <c r="F44">
        <f>Zbiorcza!AK47</f>
        <v>101.90318523108537</v>
      </c>
      <c r="G44">
        <f>Zbiorcza!AL47</f>
        <v>3.2666666666666671</v>
      </c>
      <c r="H44">
        <f>Zbiorcza!AM47</f>
        <v>4544.1400000000003</v>
      </c>
    </row>
    <row r="45" spans="1:8" x14ac:dyDescent="0.25">
      <c r="A45" t="str">
        <f>Zbiorcza!AF48</f>
        <v>IV 2017</v>
      </c>
      <c r="B45">
        <f>Zbiorcza!AG48</f>
        <v>6176.4266666666663</v>
      </c>
      <c r="C45">
        <f>Zbiorcza!AH48</f>
        <v>0</v>
      </c>
      <c r="D45">
        <f>Zbiorcza!AI48</f>
        <v>0</v>
      </c>
      <c r="E45">
        <f>Zbiorcza!AJ48</f>
        <v>1</v>
      </c>
      <c r="F45">
        <f>Zbiorcza!AK48</f>
        <v>102.92221708339623</v>
      </c>
      <c r="G45">
        <f>Zbiorcza!AL48</f>
        <v>2.9</v>
      </c>
      <c r="H45">
        <f>Zbiorcza!AM48</f>
        <v>4779.32</v>
      </c>
    </row>
    <row r="46" spans="1:8" x14ac:dyDescent="0.25">
      <c r="A46" t="str">
        <f>Zbiorcza!AF49</f>
        <v>I 2018</v>
      </c>
      <c r="B46">
        <f>Zbiorcza!AG49</f>
        <v>6220.8483333333324</v>
      </c>
      <c r="C46">
        <f>Zbiorcza!AH49</f>
        <v>0</v>
      </c>
      <c r="D46">
        <f>Zbiorcza!AI49</f>
        <v>0</v>
      </c>
      <c r="E46">
        <f>Zbiorcza!AJ49</f>
        <v>1</v>
      </c>
      <c r="F46">
        <f>Zbiorcza!AK49</f>
        <v>103.33390595172982</v>
      </c>
      <c r="G46">
        <f>Zbiorcza!AL49</f>
        <v>2.7999999999999994</v>
      </c>
      <c r="H46">
        <f>Zbiorcza!AM49</f>
        <v>4948.0600000000004</v>
      </c>
    </row>
    <row r="47" spans="1:8" x14ac:dyDescent="0.25">
      <c r="A47" t="str">
        <f>Zbiorcza!AF50</f>
        <v>II 2018</v>
      </c>
      <c r="B47">
        <f>Zbiorcza!AG50</f>
        <v>6518.3636666666671</v>
      </c>
      <c r="C47">
        <f>Zbiorcza!AH50</f>
        <v>0</v>
      </c>
      <c r="D47">
        <f>Zbiorcza!AI50</f>
        <v>0</v>
      </c>
      <c r="E47">
        <f>Zbiorcza!AJ50</f>
        <v>1</v>
      </c>
      <c r="F47">
        <f>Zbiorcza!AK50</f>
        <v>104.26391110529539</v>
      </c>
      <c r="G47">
        <f>Zbiorcza!AL50</f>
        <v>2.6666666666666665</v>
      </c>
      <c r="H47">
        <f>Zbiorcza!AM50</f>
        <v>4762.92</v>
      </c>
    </row>
    <row r="48" spans="1:8" x14ac:dyDescent="0.25">
      <c r="A48" t="str">
        <f>Zbiorcza!AF51</f>
        <v>III 2018</v>
      </c>
      <c r="B48">
        <f>Zbiorcza!AG51</f>
        <v>6461.683</v>
      </c>
      <c r="C48">
        <f>Zbiorcza!AH51</f>
        <v>0</v>
      </c>
      <c r="D48">
        <f>Zbiorcza!AI51</f>
        <v>0</v>
      </c>
      <c r="E48">
        <f>Zbiorcza!AJ51</f>
        <v>1</v>
      </c>
      <c r="F48">
        <f>Zbiorcza!AK51</f>
        <v>104.15964719419011</v>
      </c>
      <c r="G48">
        <f>Zbiorcza!AL51</f>
        <v>2.6</v>
      </c>
      <c r="H48">
        <f>Zbiorcza!AM51</f>
        <v>4868.6400000000003</v>
      </c>
    </row>
    <row r="49" spans="1:8" x14ac:dyDescent="0.25">
      <c r="A49" t="str">
        <f>Zbiorcza!AF52</f>
        <v>IV 2018</v>
      </c>
      <c r="B49">
        <f>Zbiorcza!AG52</f>
        <v>6740.003333333334</v>
      </c>
      <c r="C49">
        <f>Zbiorcza!AH52</f>
        <v>0</v>
      </c>
      <c r="D49">
        <f>Zbiorcza!AI52</f>
        <v>0</v>
      </c>
      <c r="E49">
        <f>Zbiorcza!AJ52</f>
        <v>1</v>
      </c>
      <c r="F49">
        <f>Zbiorcza!AK52</f>
        <v>104.57628578296688</v>
      </c>
      <c r="G49">
        <f>Zbiorcza!AL52</f>
        <v>2.6</v>
      </c>
      <c r="H49">
        <f>Zbiorcza!AM52</f>
        <v>5097.63</v>
      </c>
    </row>
    <row r="50" spans="1:8" x14ac:dyDescent="0.25">
      <c r="A50" t="str">
        <f>Zbiorcza!AF53</f>
        <v>I 2015</v>
      </c>
      <c r="B50">
        <f>Zbiorcza!AG53</f>
        <v>6047.2950000000001</v>
      </c>
      <c r="C50">
        <f>Zbiorcza!AH53</f>
        <v>-1</v>
      </c>
      <c r="D50">
        <f>Zbiorcza!AI53</f>
        <v>-1</v>
      </c>
      <c r="E50">
        <f>Zbiorcza!AJ53</f>
        <v>-1</v>
      </c>
      <c r="F50">
        <f>Zbiorcza!AK53</f>
        <v>100</v>
      </c>
      <c r="G50">
        <f>Zbiorcza!AL53</f>
        <v>5.7333333333333334</v>
      </c>
      <c r="H50">
        <f>Zbiorcza!AM53</f>
        <v>4376.7700000000004</v>
      </c>
    </row>
    <row r="51" spans="1:8" x14ac:dyDescent="0.25">
      <c r="A51" t="str">
        <f>Zbiorcza!AF54</f>
        <v>II 2015</v>
      </c>
      <c r="B51">
        <f>Zbiorcza!AG54</f>
        <v>5724.71</v>
      </c>
      <c r="C51">
        <f>Zbiorcza!AH54</f>
        <v>-1</v>
      </c>
      <c r="D51">
        <f>Zbiorcza!AI54</f>
        <v>-1</v>
      </c>
      <c r="E51">
        <f>Zbiorcza!AJ54</f>
        <v>-1</v>
      </c>
      <c r="F51">
        <f>Zbiorcza!AK54</f>
        <v>100.6</v>
      </c>
      <c r="G51">
        <f>Zbiorcza!AL54</f>
        <v>5.333333333333333</v>
      </c>
      <c r="H51">
        <f>Zbiorcza!AM54</f>
        <v>4128.8900000000003</v>
      </c>
    </row>
    <row r="52" spans="1:8" x14ac:dyDescent="0.25">
      <c r="A52" t="str">
        <f>Zbiorcza!AF55</f>
        <v>III 2015</v>
      </c>
      <c r="B52">
        <f>Zbiorcza!AG55</f>
        <v>5676.63</v>
      </c>
      <c r="C52">
        <f>Zbiorcza!AH55</f>
        <v>-1</v>
      </c>
      <c r="D52">
        <f>Zbiorcza!AI55</f>
        <v>-1</v>
      </c>
      <c r="E52">
        <f>Zbiorcza!AJ55</f>
        <v>-1</v>
      </c>
      <c r="F52">
        <f>Zbiorcza!AK55</f>
        <v>100.19759999999999</v>
      </c>
      <c r="G52">
        <f>Zbiorcza!AL55</f>
        <v>4.666666666666667</v>
      </c>
      <c r="H52">
        <f>Zbiorcza!AM55</f>
        <v>4193.17</v>
      </c>
    </row>
    <row r="53" spans="1:8" x14ac:dyDescent="0.25">
      <c r="A53" t="str">
        <f>Zbiorcza!AF56</f>
        <v>IV 2015</v>
      </c>
      <c r="B53">
        <f>Zbiorcza!AG56</f>
        <v>5385.8549999999996</v>
      </c>
      <c r="C53">
        <f>Zbiorcza!AH56</f>
        <v>-1</v>
      </c>
      <c r="D53">
        <f>Zbiorcza!AI56</f>
        <v>-1</v>
      </c>
      <c r="E53">
        <f>Zbiorcza!AJ56</f>
        <v>-1</v>
      </c>
      <c r="F53">
        <f>Zbiorcza!AK56</f>
        <v>100.09740240000001</v>
      </c>
      <c r="G53">
        <f>Zbiorcza!AL56</f>
        <v>4.2</v>
      </c>
      <c r="H53">
        <f>Zbiorcza!AM56</f>
        <v>4350</v>
      </c>
    </row>
    <row r="54" spans="1:8" x14ac:dyDescent="0.25">
      <c r="A54" t="str">
        <f>Zbiorcza!AF57</f>
        <v>I 2016</v>
      </c>
      <c r="B54">
        <f>Zbiorcza!AG57</f>
        <v>5420.71</v>
      </c>
      <c r="C54">
        <f>Zbiorcza!AH57</f>
        <v>-1</v>
      </c>
      <c r="D54">
        <f>Zbiorcza!AI57</f>
        <v>-1</v>
      </c>
      <c r="E54">
        <f>Zbiorcza!AJ57</f>
        <v>-1</v>
      </c>
      <c r="F54">
        <f>Zbiorcza!AK57</f>
        <v>99.496817985600018</v>
      </c>
      <c r="G54">
        <f>Zbiorcza!AL57</f>
        <v>4.166666666666667</v>
      </c>
      <c r="H54">
        <f>Zbiorcza!AM57</f>
        <v>4491.63</v>
      </c>
    </row>
    <row r="55" spans="1:8" x14ac:dyDescent="0.25">
      <c r="A55" t="str">
        <f>Zbiorcza!AF58</f>
        <v>II 2016</v>
      </c>
      <c r="B55">
        <f>Zbiorcza!AG58</f>
        <v>5394.17</v>
      </c>
      <c r="C55">
        <f>Zbiorcza!AH58</f>
        <v>-1</v>
      </c>
      <c r="D55">
        <f>Zbiorcza!AI58</f>
        <v>-1</v>
      </c>
      <c r="E55">
        <f>Zbiorcza!AJ58</f>
        <v>-1</v>
      </c>
      <c r="F55">
        <f>Zbiorcza!AK58</f>
        <v>100.09379889351362</v>
      </c>
      <c r="G55">
        <f>Zbiorcza!AL58</f>
        <v>3.8333333333333335</v>
      </c>
      <c r="H55">
        <f>Zbiorcza!AM58</f>
        <v>4333.0600000000004</v>
      </c>
    </row>
    <row r="56" spans="1:8" x14ac:dyDescent="0.25">
      <c r="A56" t="str">
        <f>Zbiorcza!AF59</f>
        <v>III 2016</v>
      </c>
      <c r="B56">
        <f>Zbiorcza!AG59</f>
        <v>5540.9249999999993</v>
      </c>
      <c r="C56">
        <f>Zbiorcza!AH59</f>
        <v>-1</v>
      </c>
      <c r="D56">
        <f>Zbiorcza!AI59</f>
        <v>-1</v>
      </c>
      <c r="E56">
        <f>Zbiorcza!AJ59</f>
        <v>-1</v>
      </c>
      <c r="F56">
        <f>Zbiorcza!AK59</f>
        <v>99.993705094620125</v>
      </c>
      <c r="G56">
        <f>Zbiorcza!AL59</f>
        <v>3.7333333333333329</v>
      </c>
      <c r="H56">
        <f>Zbiorcza!AM59</f>
        <v>4352.28</v>
      </c>
    </row>
    <row r="57" spans="1:8" x14ac:dyDescent="0.25">
      <c r="A57" t="str">
        <f>Zbiorcza!AF60</f>
        <v>IV 2016</v>
      </c>
      <c r="B57">
        <f>Zbiorcza!AG60</f>
        <v>5670.49</v>
      </c>
      <c r="C57">
        <f>Zbiorcza!AH60</f>
        <v>-1</v>
      </c>
      <c r="D57">
        <f>Zbiorcza!AI60</f>
        <v>-1</v>
      </c>
      <c r="E57">
        <f>Zbiorcza!AJ60</f>
        <v>-1</v>
      </c>
      <c r="F57">
        <f>Zbiorcza!AK60</f>
        <v>100.69366103028248</v>
      </c>
      <c r="G57">
        <f>Zbiorcza!AL60</f>
        <v>3.6333333333333333</v>
      </c>
      <c r="H57">
        <f>Zbiorcza!AM60</f>
        <v>4467.88</v>
      </c>
    </row>
    <row r="58" spans="1:8" x14ac:dyDescent="0.25">
      <c r="A58" t="str">
        <f>Zbiorcza!AF61</f>
        <v>I 2017</v>
      </c>
      <c r="B58">
        <f>Zbiorcza!AG61</f>
        <v>5855.8649999999998</v>
      </c>
      <c r="C58">
        <f>Zbiorcza!AH61</f>
        <v>-1</v>
      </c>
      <c r="D58">
        <f>Zbiorcza!AI61</f>
        <v>-1</v>
      </c>
      <c r="E58">
        <f>Zbiorcza!AJ61</f>
        <v>-1</v>
      </c>
      <c r="F58">
        <f>Zbiorcza!AK61</f>
        <v>101.70059764058531</v>
      </c>
      <c r="G58">
        <f>Zbiorcza!AL61</f>
        <v>3.6</v>
      </c>
      <c r="H58">
        <f>Zbiorcza!AM61</f>
        <v>4697.92</v>
      </c>
    </row>
    <row r="59" spans="1:8" x14ac:dyDescent="0.25">
      <c r="A59" t="str">
        <f>Zbiorcza!AF62</f>
        <v>II 2017</v>
      </c>
      <c r="B59">
        <f>Zbiorcza!AG62</f>
        <v>5689.732</v>
      </c>
      <c r="C59">
        <f>Zbiorcza!AH62</f>
        <v>-1</v>
      </c>
      <c r="D59">
        <f>Zbiorcza!AI62</f>
        <v>-1</v>
      </c>
      <c r="E59">
        <f>Zbiorcza!AJ62</f>
        <v>-1</v>
      </c>
      <c r="F59">
        <f>Zbiorcza!AK62</f>
        <v>102.10740003114766</v>
      </c>
      <c r="G59">
        <f>Zbiorcza!AL62</f>
        <v>3.4</v>
      </c>
      <c r="H59">
        <f>Zbiorcza!AM62</f>
        <v>4501.59</v>
      </c>
    </row>
    <row r="60" spans="1:8" x14ac:dyDescent="0.25">
      <c r="A60" t="str">
        <f>Zbiorcza!AF63</f>
        <v>III 2017</v>
      </c>
      <c r="B60">
        <f>Zbiorcza!AG63</f>
        <v>5740.45</v>
      </c>
      <c r="C60">
        <f>Zbiorcza!AH63</f>
        <v>-1</v>
      </c>
      <c r="D60">
        <f>Zbiorcza!AI63</f>
        <v>-1</v>
      </c>
      <c r="E60">
        <f>Zbiorcza!AJ63</f>
        <v>-1</v>
      </c>
      <c r="F60">
        <f>Zbiorcza!AK63</f>
        <v>101.90318523108537</v>
      </c>
      <c r="G60">
        <f>Zbiorcza!AL63</f>
        <v>3.2666666666666671</v>
      </c>
      <c r="H60">
        <f>Zbiorcza!AM63</f>
        <v>4544.1400000000003</v>
      </c>
    </row>
    <row r="61" spans="1:8" x14ac:dyDescent="0.25">
      <c r="A61" t="str">
        <f>Zbiorcza!AF64</f>
        <v>IV 2017</v>
      </c>
      <c r="B61">
        <f>Zbiorcza!AG64</f>
        <v>5959.8099999999995</v>
      </c>
      <c r="C61">
        <f>Zbiorcza!AH64</f>
        <v>-1</v>
      </c>
      <c r="D61">
        <f>Zbiorcza!AI64</f>
        <v>-1</v>
      </c>
      <c r="E61">
        <f>Zbiorcza!AJ64</f>
        <v>-1</v>
      </c>
      <c r="F61">
        <f>Zbiorcza!AK64</f>
        <v>102.92221708339623</v>
      </c>
      <c r="G61">
        <f>Zbiorcza!AL64</f>
        <v>2.9</v>
      </c>
      <c r="H61">
        <f>Zbiorcza!AM64</f>
        <v>4779.32</v>
      </c>
    </row>
    <row r="62" spans="1:8" x14ac:dyDescent="0.25">
      <c r="A62" t="str">
        <f>Zbiorcza!AF65</f>
        <v>I 2018</v>
      </c>
      <c r="B62">
        <f>Zbiorcza!AG65</f>
        <v>6250.4135000000006</v>
      </c>
      <c r="C62">
        <f>Zbiorcza!AH65</f>
        <v>-1</v>
      </c>
      <c r="D62">
        <f>Zbiorcza!AI65</f>
        <v>-1</v>
      </c>
      <c r="E62">
        <f>Zbiorcza!AJ65</f>
        <v>-1</v>
      </c>
      <c r="F62">
        <f>Zbiorcza!AK65</f>
        <v>103.33390595172982</v>
      </c>
      <c r="G62">
        <f>Zbiorcza!AL65</f>
        <v>2.7999999999999994</v>
      </c>
      <c r="H62">
        <f>Zbiorcza!AM65</f>
        <v>4948.0600000000004</v>
      </c>
    </row>
    <row r="63" spans="1:8" x14ac:dyDescent="0.25">
      <c r="A63" t="str">
        <f>Zbiorcza!AF66</f>
        <v>II 2018</v>
      </c>
      <c r="B63">
        <f>Zbiorcza!AG66</f>
        <v>6517.0550000000003</v>
      </c>
      <c r="C63">
        <f>Zbiorcza!AH66</f>
        <v>-1</v>
      </c>
      <c r="D63">
        <f>Zbiorcza!AI66</f>
        <v>-1</v>
      </c>
      <c r="E63">
        <f>Zbiorcza!AJ66</f>
        <v>-1</v>
      </c>
      <c r="F63">
        <f>Zbiorcza!AK66</f>
        <v>104.26391110529539</v>
      </c>
      <c r="G63">
        <f>Zbiorcza!AL66</f>
        <v>2.6666666666666665</v>
      </c>
      <c r="H63">
        <f>Zbiorcza!AM66</f>
        <v>4762.92</v>
      </c>
    </row>
    <row r="64" spans="1:8" x14ac:dyDescent="0.25">
      <c r="A64" t="str">
        <f>Zbiorcza!AF67</f>
        <v>III 2018</v>
      </c>
      <c r="B64">
        <f>Zbiorcza!AG67</f>
        <v>6877.8559999999998</v>
      </c>
      <c r="C64">
        <f>Zbiorcza!AH67</f>
        <v>-1</v>
      </c>
      <c r="D64">
        <f>Zbiorcza!AI67</f>
        <v>-1</v>
      </c>
      <c r="E64">
        <f>Zbiorcza!AJ67</f>
        <v>-1</v>
      </c>
      <c r="F64">
        <f>Zbiorcza!AK67</f>
        <v>104.15964719419011</v>
      </c>
      <c r="G64">
        <f>Zbiorcza!AL67</f>
        <v>2.6</v>
      </c>
      <c r="H64">
        <f>Zbiorcza!AM67</f>
        <v>4868.6400000000003</v>
      </c>
    </row>
    <row r="65" spans="1:8" x14ac:dyDescent="0.25">
      <c r="A65" t="str">
        <f>Zbiorcza!AF68</f>
        <v>IV 2018</v>
      </c>
      <c r="B65">
        <f>Zbiorcza!AG68</f>
        <v>6893.2250000000004</v>
      </c>
      <c r="C65">
        <f>Zbiorcza!AH68</f>
        <v>-1</v>
      </c>
      <c r="D65">
        <f>Zbiorcza!AI68</f>
        <v>-1</v>
      </c>
      <c r="E65">
        <f>Zbiorcza!AJ68</f>
        <v>-1</v>
      </c>
      <c r="F65">
        <f>Zbiorcza!AK68</f>
        <v>104.57628578296688</v>
      </c>
      <c r="G65">
        <f>Zbiorcza!AL68</f>
        <v>2.6</v>
      </c>
      <c r="H65">
        <f>Zbiorcza!AM68</f>
        <v>5097.63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L1" sqref="L1:R1048576"/>
    </sheetView>
  </sheetViews>
  <sheetFormatPr defaultRowHeight="15" x14ac:dyDescent="0.25"/>
  <sheetData>
    <row r="1" spans="1:9" x14ac:dyDescent="0.25">
      <c r="A1" t="str">
        <f>Zbiorcza!AP4</f>
        <v>Kw</v>
      </c>
      <c r="B1" t="str">
        <f>Zbiorcza!AQ4</f>
        <v>Cena</v>
      </c>
      <c r="C1" t="str">
        <f>Zbiorcza!AR4</f>
        <v>M_do35</v>
      </c>
      <c r="D1" t="str">
        <f>Zbiorcza!AS4</f>
        <v>M_35-50</v>
      </c>
      <c r="E1" t="str">
        <f>Zbiorcza!AT4</f>
        <v>M_50-80</v>
      </c>
      <c r="F1" t="str">
        <f>Zbiorcza!AU4</f>
        <v>Wsk_cen</v>
      </c>
      <c r="G1" t="str">
        <f>Zbiorcza!AV4</f>
        <v>Bezr</v>
      </c>
      <c r="H1" t="str">
        <f>Zbiorcza!AW4</f>
        <v>W</v>
      </c>
      <c r="I1" t="str">
        <f>Zbiorcza!AX4</f>
        <v>cena-1</v>
      </c>
    </row>
    <row r="2" spans="1:9" x14ac:dyDescent="0.25">
      <c r="A2" t="str">
        <f>Zbiorcza!AP5</f>
        <v>II 2015</v>
      </c>
      <c r="B2">
        <f>Zbiorcza!AQ5</f>
        <v>5695.75</v>
      </c>
      <c r="C2">
        <f>Zbiorcza!AR5</f>
        <v>1</v>
      </c>
      <c r="D2">
        <f>Zbiorcza!AS5</f>
        <v>0</v>
      </c>
      <c r="E2">
        <f>Zbiorcza!AT5</f>
        <v>0</v>
      </c>
      <c r="F2">
        <f>Zbiorcza!AU5</f>
        <v>100.6</v>
      </c>
      <c r="G2">
        <f>Zbiorcza!AV5</f>
        <v>5.333333333333333</v>
      </c>
      <c r="H2">
        <f>Zbiorcza!AW5</f>
        <v>4128.8900000000003</v>
      </c>
      <c r="I2">
        <f>Zbiorcza!AX5</f>
        <v>5730.95</v>
      </c>
    </row>
    <row r="3" spans="1:9" x14ac:dyDescent="0.25">
      <c r="A3" t="str">
        <f>Zbiorcza!AP6</f>
        <v>III 2015</v>
      </c>
      <c r="B3">
        <f>Zbiorcza!AQ6</f>
        <v>5617.39</v>
      </c>
      <c r="C3">
        <f>Zbiorcza!AR6</f>
        <v>1</v>
      </c>
      <c r="D3">
        <f>Zbiorcza!AS6</f>
        <v>0</v>
      </c>
      <c r="E3">
        <f>Zbiorcza!AT6</f>
        <v>0</v>
      </c>
      <c r="F3">
        <f>Zbiorcza!AU6</f>
        <v>100.19759999999999</v>
      </c>
      <c r="G3">
        <f>Zbiorcza!AV6</f>
        <v>4.666666666666667</v>
      </c>
      <c r="H3">
        <f>Zbiorcza!AW6</f>
        <v>4193.17</v>
      </c>
      <c r="I3">
        <f>Zbiorcza!AX6</f>
        <v>5695.75</v>
      </c>
    </row>
    <row r="4" spans="1:9" x14ac:dyDescent="0.25">
      <c r="A4" t="str">
        <f>Zbiorcza!AP7</f>
        <v>IV 2015</v>
      </c>
      <c r="B4">
        <f>Zbiorcza!AQ7</f>
        <v>5564.01</v>
      </c>
      <c r="C4">
        <f>Zbiorcza!AR7</f>
        <v>1</v>
      </c>
      <c r="D4">
        <f>Zbiorcza!AS7</f>
        <v>0</v>
      </c>
      <c r="E4">
        <f>Zbiorcza!AT7</f>
        <v>0</v>
      </c>
      <c r="F4">
        <f>Zbiorcza!AU7</f>
        <v>100.09740240000001</v>
      </c>
      <c r="G4">
        <f>Zbiorcza!AV7</f>
        <v>4.2</v>
      </c>
      <c r="H4">
        <f>Zbiorcza!AW7</f>
        <v>4350</v>
      </c>
      <c r="I4">
        <f>Zbiorcza!AX7</f>
        <v>5617.39</v>
      </c>
    </row>
    <row r="5" spans="1:9" x14ac:dyDescent="0.25">
      <c r="A5" t="str">
        <f>Zbiorcza!AP8</f>
        <v>I 2016</v>
      </c>
      <c r="B5">
        <f>Zbiorcza!AQ8</f>
        <v>5413.68</v>
      </c>
      <c r="C5">
        <f>Zbiorcza!AR8</f>
        <v>1</v>
      </c>
      <c r="D5">
        <f>Zbiorcza!AS8</f>
        <v>0</v>
      </c>
      <c r="E5">
        <f>Zbiorcza!AT8</f>
        <v>0</v>
      </c>
      <c r="F5">
        <f>Zbiorcza!AU8</f>
        <v>99.496817985600018</v>
      </c>
      <c r="G5">
        <f>Zbiorcza!AV8</f>
        <v>4.166666666666667</v>
      </c>
      <c r="H5">
        <f>Zbiorcza!AW8</f>
        <v>4491.63</v>
      </c>
      <c r="I5">
        <f>Zbiorcza!AX8</f>
        <v>5564.01</v>
      </c>
    </row>
    <row r="6" spans="1:9" x14ac:dyDescent="0.25">
      <c r="A6" t="str">
        <f>Zbiorcza!AP9</f>
        <v>II 2016</v>
      </c>
      <c r="B6">
        <f>Zbiorcza!AQ9</f>
        <v>5517.48</v>
      </c>
      <c r="C6">
        <f>Zbiorcza!AR9</f>
        <v>1</v>
      </c>
      <c r="D6">
        <f>Zbiorcza!AS9</f>
        <v>0</v>
      </c>
      <c r="E6">
        <f>Zbiorcza!AT9</f>
        <v>0</v>
      </c>
      <c r="F6">
        <f>Zbiorcza!AU9</f>
        <v>100.09379889351362</v>
      </c>
      <c r="G6">
        <f>Zbiorcza!AV9</f>
        <v>3.8333333333333335</v>
      </c>
      <c r="H6">
        <f>Zbiorcza!AW9</f>
        <v>4333.0600000000004</v>
      </c>
      <c r="I6">
        <f>Zbiorcza!AX9</f>
        <v>5413.68</v>
      </c>
    </row>
    <row r="7" spans="1:9" x14ac:dyDescent="0.25">
      <c r="A7" t="str">
        <f>Zbiorcza!AP10</f>
        <v>III 2016</v>
      </c>
      <c r="B7">
        <f>Zbiorcza!AQ10</f>
        <v>5688.82</v>
      </c>
      <c r="C7">
        <f>Zbiorcza!AR10</f>
        <v>1</v>
      </c>
      <c r="D7">
        <f>Zbiorcza!AS10</f>
        <v>0</v>
      </c>
      <c r="E7">
        <f>Zbiorcza!AT10</f>
        <v>0</v>
      </c>
      <c r="F7">
        <f>Zbiorcza!AU10</f>
        <v>99.993705094620125</v>
      </c>
      <c r="G7">
        <f>Zbiorcza!AV10</f>
        <v>3.7333333333333329</v>
      </c>
      <c r="H7">
        <f>Zbiorcza!AW10</f>
        <v>4352.28</v>
      </c>
      <c r="I7">
        <f>Zbiorcza!AX10</f>
        <v>5517.48</v>
      </c>
    </row>
    <row r="8" spans="1:9" x14ac:dyDescent="0.25">
      <c r="A8" t="str">
        <f>Zbiorcza!AP11</f>
        <v>IV 2016</v>
      </c>
      <c r="B8">
        <f>Zbiorcza!AQ11</f>
        <v>5725.84</v>
      </c>
      <c r="C8">
        <f>Zbiorcza!AR11</f>
        <v>1</v>
      </c>
      <c r="D8">
        <f>Zbiorcza!AS11</f>
        <v>0</v>
      </c>
      <c r="E8">
        <f>Zbiorcza!AT11</f>
        <v>0</v>
      </c>
      <c r="F8">
        <f>Zbiorcza!AU11</f>
        <v>100.69366103028248</v>
      </c>
      <c r="G8">
        <f>Zbiorcza!AV11</f>
        <v>3.6333333333333333</v>
      </c>
      <c r="H8">
        <f>Zbiorcza!AW11</f>
        <v>4467.88</v>
      </c>
      <c r="I8">
        <f>Zbiorcza!AX11</f>
        <v>5688.82</v>
      </c>
    </row>
    <row r="9" spans="1:9" x14ac:dyDescent="0.25">
      <c r="A9" t="str">
        <f>Zbiorcza!AP12</f>
        <v>I 2017</v>
      </c>
      <c r="B9">
        <f>Zbiorcza!AQ12</f>
        <v>6043.25</v>
      </c>
      <c r="C9">
        <f>Zbiorcza!AR12</f>
        <v>1</v>
      </c>
      <c r="D9">
        <f>Zbiorcza!AS12</f>
        <v>0</v>
      </c>
      <c r="E9">
        <f>Zbiorcza!AT12</f>
        <v>0</v>
      </c>
      <c r="F9">
        <f>Zbiorcza!AU12</f>
        <v>101.70059764058531</v>
      </c>
      <c r="G9">
        <f>Zbiorcza!AV12</f>
        <v>3.6</v>
      </c>
      <c r="H9">
        <f>Zbiorcza!AW12</f>
        <v>4697.92</v>
      </c>
      <c r="I9">
        <f>Zbiorcza!AX12</f>
        <v>5725.84</v>
      </c>
    </row>
    <row r="10" spans="1:9" x14ac:dyDescent="0.25">
      <c r="A10" t="str">
        <f>Zbiorcza!AP13</f>
        <v>II 2017</v>
      </c>
      <c r="B10">
        <f>Zbiorcza!AQ13</f>
        <v>6283.44</v>
      </c>
      <c r="C10">
        <f>Zbiorcza!AR13</f>
        <v>1</v>
      </c>
      <c r="D10">
        <f>Zbiorcza!AS13</f>
        <v>0</v>
      </c>
      <c r="E10">
        <f>Zbiorcza!AT13</f>
        <v>0</v>
      </c>
      <c r="F10">
        <f>Zbiorcza!AU13</f>
        <v>102.10740003114766</v>
      </c>
      <c r="G10">
        <f>Zbiorcza!AV13</f>
        <v>3.4</v>
      </c>
      <c r="H10">
        <f>Zbiorcza!AW13</f>
        <v>4501.59</v>
      </c>
      <c r="I10">
        <f>Zbiorcza!AX13</f>
        <v>6043.25</v>
      </c>
    </row>
    <row r="11" spans="1:9" x14ac:dyDescent="0.25">
      <c r="A11" t="str">
        <f>Zbiorcza!AP14</f>
        <v>III 2017</v>
      </c>
      <c r="B11">
        <f>Zbiorcza!AQ14</f>
        <v>6574.0069999999996</v>
      </c>
      <c r="C11">
        <f>Zbiorcza!AR14</f>
        <v>1</v>
      </c>
      <c r="D11">
        <f>Zbiorcza!AS14</f>
        <v>0</v>
      </c>
      <c r="E11">
        <f>Zbiorcza!AT14</f>
        <v>0</v>
      </c>
      <c r="F11">
        <f>Zbiorcza!AU14</f>
        <v>101.90318523108537</v>
      </c>
      <c r="G11">
        <f>Zbiorcza!AV14</f>
        <v>3.2666666666666671</v>
      </c>
      <c r="H11">
        <f>Zbiorcza!AW14</f>
        <v>4544.1400000000003</v>
      </c>
      <c r="I11">
        <f>Zbiorcza!AX14</f>
        <v>6283.44</v>
      </c>
    </row>
    <row r="12" spans="1:9" x14ac:dyDescent="0.25">
      <c r="A12" t="str">
        <f>Zbiorcza!AP15</f>
        <v>IV 2017</v>
      </c>
      <c r="B12">
        <f>Zbiorcza!AQ15</f>
        <v>6713.74</v>
      </c>
      <c r="C12">
        <f>Zbiorcza!AR15</f>
        <v>1</v>
      </c>
      <c r="D12">
        <f>Zbiorcza!AS15</f>
        <v>0</v>
      </c>
      <c r="E12">
        <f>Zbiorcza!AT15</f>
        <v>0</v>
      </c>
      <c r="F12">
        <f>Zbiorcza!AU15</f>
        <v>102.92221708339623</v>
      </c>
      <c r="G12">
        <f>Zbiorcza!AV15</f>
        <v>2.9</v>
      </c>
      <c r="H12">
        <f>Zbiorcza!AW15</f>
        <v>4779.32</v>
      </c>
      <c r="I12">
        <f>Zbiorcza!AX15</f>
        <v>6574.0069999999996</v>
      </c>
    </row>
    <row r="13" spans="1:9" x14ac:dyDescent="0.25">
      <c r="A13" t="str">
        <f>Zbiorcza!AP16</f>
        <v>I 2018</v>
      </c>
      <c r="B13">
        <f>Zbiorcza!AQ16</f>
        <v>7352.7830000000004</v>
      </c>
      <c r="C13">
        <f>Zbiorcza!AR16</f>
        <v>1</v>
      </c>
      <c r="D13">
        <f>Zbiorcza!AS16</f>
        <v>0</v>
      </c>
      <c r="E13">
        <f>Zbiorcza!AT16</f>
        <v>0</v>
      </c>
      <c r="F13">
        <f>Zbiorcza!AU16</f>
        <v>103.33390595172982</v>
      </c>
      <c r="G13">
        <f>Zbiorcza!AV16</f>
        <v>2.7999999999999994</v>
      </c>
      <c r="H13">
        <f>Zbiorcza!AW16</f>
        <v>4948.0600000000004</v>
      </c>
      <c r="I13">
        <f>Zbiorcza!AX16</f>
        <v>6713.74</v>
      </c>
    </row>
    <row r="14" spans="1:9" x14ac:dyDescent="0.25">
      <c r="A14" t="str">
        <f>Zbiorcza!AP17</f>
        <v>II 2018</v>
      </c>
      <c r="B14">
        <f>Zbiorcza!AQ17</f>
        <v>7419.03</v>
      </c>
      <c r="C14">
        <f>Zbiorcza!AR17</f>
        <v>1</v>
      </c>
      <c r="D14">
        <f>Zbiorcza!AS17</f>
        <v>0</v>
      </c>
      <c r="E14">
        <f>Zbiorcza!AT17</f>
        <v>0</v>
      </c>
      <c r="F14">
        <f>Zbiorcza!AU17</f>
        <v>104.26391110529539</v>
      </c>
      <c r="G14">
        <f>Zbiorcza!AV17</f>
        <v>2.6666666666666665</v>
      </c>
      <c r="H14">
        <f>Zbiorcza!AW17</f>
        <v>4762.92</v>
      </c>
      <c r="I14">
        <f>Zbiorcza!AX17</f>
        <v>7352.7830000000004</v>
      </c>
    </row>
    <row r="15" spans="1:9" x14ac:dyDescent="0.25">
      <c r="A15" t="str">
        <f>Zbiorcza!AP18</f>
        <v>III 2018</v>
      </c>
      <c r="B15">
        <f>Zbiorcza!AQ18</f>
        <v>7530.442</v>
      </c>
      <c r="C15">
        <f>Zbiorcza!AR18</f>
        <v>1</v>
      </c>
      <c r="D15">
        <f>Zbiorcza!AS18</f>
        <v>0</v>
      </c>
      <c r="E15">
        <f>Zbiorcza!AT18</f>
        <v>0</v>
      </c>
      <c r="F15">
        <f>Zbiorcza!AU18</f>
        <v>104.15964719419011</v>
      </c>
      <c r="G15">
        <f>Zbiorcza!AV18</f>
        <v>2.6</v>
      </c>
      <c r="H15">
        <f>Zbiorcza!AW18</f>
        <v>4868.6400000000003</v>
      </c>
      <c r="I15">
        <f>Zbiorcza!AX18</f>
        <v>7419.03</v>
      </c>
    </row>
    <row r="16" spans="1:9" x14ac:dyDescent="0.25">
      <c r="A16" t="str">
        <f>Zbiorcza!AP19</f>
        <v>IV 2018</v>
      </c>
      <c r="B16">
        <f>Zbiorcza!AQ19</f>
        <v>7725.84</v>
      </c>
      <c r="C16">
        <f>Zbiorcza!AR19</f>
        <v>1</v>
      </c>
      <c r="D16">
        <f>Zbiorcza!AS19</f>
        <v>0</v>
      </c>
      <c r="E16">
        <f>Zbiorcza!AT19</f>
        <v>0</v>
      </c>
      <c r="F16">
        <f>Zbiorcza!AU19</f>
        <v>104.57628578296688</v>
      </c>
      <c r="G16">
        <f>Zbiorcza!AV19</f>
        <v>2.6</v>
      </c>
      <c r="H16">
        <f>Zbiorcza!AW19</f>
        <v>5097.63</v>
      </c>
      <c r="I16">
        <f>Zbiorcza!AX19</f>
        <v>7530.442</v>
      </c>
    </row>
    <row r="17" spans="1:9" x14ac:dyDescent="0.25">
      <c r="A17" t="str">
        <f>Zbiorcza!AP20</f>
        <v>I 2015</v>
      </c>
      <c r="B17">
        <f>Zbiorcza!AQ20</f>
        <v>5428.1350000000002</v>
      </c>
      <c r="C17">
        <f>Zbiorcza!AR20</f>
        <v>0</v>
      </c>
      <c r="D17">
        <f>Zbiorcza!AS20</f>
        <v>1</v>
      </c>
      <c r="E17">
        <f>Zbiorcza!AT20</f>
        <v>0</v>
      </c>
      <c r="F17">
        <f>Zbiorcza!AU20</f>
        <v>100</v>
      </c>
      <c r="G17">
        <f>Zbiorcza!AV20</f>
        <v>5.7333333333333334</v>
      </c>
      <c r="H17">
        <f>Zbiorcza!AW20</f>
        <v>4376.7700000000004</v>
      </c>
      <c r="I17">
        <f>Zbiorcza!AX20</f>
        <v>7725.84</v>
      </c>
    </row>
    <row r="18" spans="1:9" x14ac:dyDescent="0.25">
      <c r="A18" t="str">
        <f>Zbiorcza!AP21</f>
        <v>II 2015</v>
      </c>
      <c r="B18">
        <f>Zbiorcza!AQ21</f>
        <v>5348.87</v>
      </c>
      <c r="C18">
        <f>Zbiorcza!AR21</f>
        <v>0</v>
      </c>
      <c r="D18">
        <f>Zbiorcza!AS21</f>
        <v>1</v>
      </c>
      <c r="E18">
        <f>Zbiorcza!AT21</f>
        <v>0</v>
      </c>
      <c r="F18">
        <f>Zbiorcza!AU21</f>
        <v>100.6</v>
      </c>
      <c r="G18">
        <f>Zbiorcza!AV21</f>
        <v>5.333333333333333</v>
      </c>
      <c r="H18">
        <f>Zbiorcza!AW21</f>
        <v>4128.8900000000003</v>
      </c>
      <c r="I18">
        <f>Zbiorcza!AX21</f>
        <v>5428.1350000000002</v>
      </c>
    </row>
    <row r="19" spans="1:9" x14ac:dyDescent="0.25">
      <c r="A19" t="str">
        <f>Zbiorcza!AP22</f>
        <v>III 2015</v>
      </c>
      <c r="B19">
        <f>Zbiorcza!AQ22</f>
        <v>5513.6149999999998</v>
      </c>
      <c r="C19">
        <f>Zbiorcza!AR22</f>
        <v>0</v>
      </c>
      <c r="D19">
        <f>Zbiorcza!AS22</f>
        <v>1</v>
      </c>
      <c r="E19">
        <f>Zbiorcza!AT22</f>
        <v>0</v>
      </c>
      <c r="F19">
        <f>Zbiorcza!AU22</f>
        <v>100.19759999999999</v>
      </c>
      <c r="G19">
        <f>Zbiorcza!AV22</f>
        <v>4.666666666666667</v>
      </c>
      <c r="H19">
        <f>Zbiorcza!AW22</f>
        <v>4193.17</v>
      </c>
      <c r="I19">
        <f>Zbiorcza!AX22</f>
        <v>5348.87</v>
      </c>
    </row>
    <row r="20" spans="1:9" x14ac:dyDescent="0.25">
      <c r="A20" t="str">
        <f>Zbiorcza!AP23</f>
        <v>IV 2015</v>
      </c>
      <c r="B20">
        <f>Zbiorcza!AQ23</f>
        <v>5451.9949999999999</v>
      </c>
      <c r="C20">
        <f>Zbiorcza!AR23</f>
        <v>0</v>
      </c>
      <c r="D20">
        <f>Zbiorcza!AS23</f>
        <v>1</v>
      </c>
      <c r="E20">
        <f>Zbiorcza!AT23</f>
        <v>0</v>
      </c>
      <c r="F20">
        <f>Zbiorcza!AU23</f>
        <v>100.09740240000001</v>
      </c>
      <c r="G20">
        <f>Zbiorcza!AV23</f>
        <v>4.2</v>
      </c>
      <c r="H20">
        <f>Zbiorcza!AW23</f>
        <v>4350</v>
      </c>
      <c r="I20">
        <f>Zbiorcza!AX23</f>
        <v>5513.6149999999998</v>
      </c>
    </row>
    <row r="21" spans="1:9" x14ac:dyDescent="0.25">
      <c r="A21" t="str">
        <f>Zbiorcza!AP24</f>
        <v>I 2016</v>
      </c>
      <c r="B21">
        <f>Zbiorcza!AQ24</f>
        <v>5397.72</v>
      </c>
      <c r="C21">
        <f>Zbiorcza!AR24</f>
        <v>0</v>
      </c>
      <c r="D21">
        <f>Zbiorcza!AS24</f>
        <v>1</v>
      </c>
      <c r="E21">
        <f>Zbiorcza!AT24</f>
        <v>0</v>
      </c>
      <c r="F21">
        <f>Zbiorcza!AU24</f>
        <v>99.496817985600018</v>
      </c>
      <c r="G21">
        <f>Zbiorcza!AV24</f>
        <v>4.166666666666667</v>
      </c>
      <c r="H21">
        <f>Zbiorcza!AW24</f>
        <v>4491.63</v>
      </c>
      <c r="I21">
        <f>Zbiorcza!AX24</f>
        <v>5451.9949999999999</v>
      </c>
    </row>
    <row r="22" spans="1:9" x14ac:dyDescent="0.25">
      <c r="A22" t="str">
        <f>Zbiorcza!AP25</f>
        <v>II 2016</v>
      </c>
      <c r="B22">
        <f>Zbiorcza!AQ25</f>
        <v>5356.88</v>
      </c>
      <c r="C22">
        <f>Zbiorcza!AR25</f>
        <v>0</v>
      </c>
      <c r="D22">
        <f>Zbiorcza!AS25</f>
        <v>1</v>
      </c>
      <c r="E22">
        <f>Zbiorcza!AT25</f>
        <v>0</v>
      </c>
      <c r="F22">
        <f>Zbiorcza!AU25</f>
        <v>100.09379889351362</v>
      </c>
      <c r="G22">
        <f>Zbiorcza!AV25</f>
        <v>3.8333333333333335</v>
      </c>
      <c r="H22">
        <f>Zbiorcza!AW25</f>
        <v>4333.0600000000004</v>
      </c>
      <c r="I22">
        <f>Zbiorcza!AX25</f>
        <v>5397.72</v>
      </c>
    </row>
    <row r="23" spans="1:9" x14ac:dyDescent="0.25">
      <c r="A23" t="str">
        <f>Zbiorcza!AP26</f>
        <v>III 2016</v>
      </c>
      <c r="B23">
        <f>Zbiorcza!AQ26</f>
        <v>5451.58</v>
      </c>
      <c r="C23">
        <f>Zbiorcza!AR26</f>
        <v>0</v>
      </c>
      <c r="D23">
        <f>Zbiorcza!AS26</f>
        <v>1</v>
      </c>
      <c r="E23">
        <f>Zbiorcza!AT26</f>
        <v>0</v>
      </c>
      <c r="F23">
        <f>Zbiorcza!AU26</f>
        <v>99.993705094620125</v>
      </c>
      <c r="G23">
        <f>Zbiorcza!AV26</f>
        <v>3.7333333333333329</v>
      </c>
      <c r="H23">
        <f>Zbiorcza!AW26</f>
        <v>4352.28</v>
      </c>
      <c r="I23">
        <f>Zbiorcza!AX26</f>
        <v>5356.88</v>
      </c>
    </row>
    <row r="24" spans="1:9" x14ac:dyDescent="0.25">
      <c r="A24" t="str">
        <f>Zbiorcza!AP27</f>
        <v>IV 2016</v>
      </c>
      <c r="B24">
        <f>Zbiorcza!AQ27</f>
        <v>5607.6399999999994</v>
      </c>
      <c r="C24">
        <f>Zbiorcza!AR27</f>
        <v>0</v>
      </c>
      <c r="D24">
        <f>Zbiorcza!AS27</f>
        <v>1</v>
      </c>
      <c r="E24">
        <f>Zbiorcza!AT27</f>
        <v>0</v>
      </c>
      <c r="F24">
        <f>Zbiorcza!AU27</f>
        <v>100.69366103028248</v>
      </c>
      <c r="G24">
        <f>Zbiorcza!AV27</f>
        <v>3.6333333333333333</v>
      </c>
      <c r="H24">
        <f>Zbiorcza!AW27</f>
        <v>4467.88</v>
      </c>
      <c r="I24">
        <f>Zbiorcza!AX27</f>
        <v>5451.58</v>
      </c>
    </row>
    <row r="25" spans="1:9" x14ac:dyDescent="0.25">
      <c r="A25" t="str">
        <f>Zbiorcza!AP28</f>
        <v>I 2017</v>
      </c>
      <c r="B25">
        <f>Zbiorcza!AQ28</f>
        <v>5775.58</v>
      </c>
      <c r="C25">
        <f>Zbiorcza!AR28</f>
        <v>0</v>
      </c>
      <c r="D25">
        <f>Zbiorcza!AS28</f>
        <v>1</v>
      </c>
      <c r="E25">
        <f>Zbiorcza!AT28</f>
        <v>0</v>
      </c>
      <c r="F25">
        <f>Zbiorcza!AU28</f>
        <v>101.70059764058531</v>
      </c>
      <c r="G25">
        <f>Zbiorcza!AV28</f>
        <v>3.6</v>
      </c>
      <c r="H25">
        <f>Zbiorcza!AW28</f>
        <v>4697.92</v>
      </c>
      <c r="I25">
        <f>Zbiorcza!AX28</f>
        <v>5607.6399999999994</v>
      </c>
    </row>
    <row r="26" spans="1:9" x14ac:dyDescent="0.25">
      <c r="A26" t="str">
        <f>Zbiorcza!AP29</f>
        <v>II 2017</v>
      </c>
      <c r="B26">
        <f>Zbiorcza!AQ29</f>
        <v>5911.4430000000002</v>
      </c>
      <c r="C26">
        <f>Zbiorcza!AR29</f>
        <v>0</v>
      </c>
      <c r="D26">
        <f>Zbiorcza!AS29</f>
        <v>1</v>
      </c>
      <c r="E26">
        <f>Zbiorcza!AT29</f>
        <v>0</v>
      </c>
      <c r="F26">
        <f>Zbiorcza!AU29</f>
        <v>102.10740003114766</v>
      </c>
      <c r="G26">
        <f>Zbiorcza!AV29</f>
        <v>3.4</v>
      </c>
      <c r="H26">
        <f>Zbiorcza!AW29</f>
        <v>4501.59</v>
      </c>
      <c r="I26">
        <f>Zbiorcza!AX29</f>
        <v>5775.58</v>
      </c>
    </row>
    <row r="27" spans="1:9" x14ac:dyDescent="0.25">
      <c r="A27" t="str">
        <f>Zbiorcza!AP30</f>
        <v>III 2017</v>
      </c>
      <c r="B27">
        <f>Zbiorcza!AQ30</f>
        <v>6077.2615000000005</v>
      </c>
      <c r="C27">
        <f>Zbiorcza!AR30</f>
        <v>0</v>
      </c>
      <c r="D27">
        <f>Zbiorcza!AS30</f>
        <v>1</v>
      </c>
      <c r="E27">
        <f>Zbiorcza!AT30</f>
        <v>0</v>
      </c>
      <c r="F27">
        <f>Zbiorcza!AU30</f>
        <v>101.90318523108537</v>
      </c>
      <c r="G27">
        <f>Zbiorcza!AV30</f>
        <v>3.2666666666666671</v>
      </c>
      <c r="H27">
        <f>Zbiorcza!AW30</f>
        <v>4544.1400000000003</v>
      </c>
      <c r="I27">
        <f>Zbiorcza!AX30</f>
        <v>5911.4430000000002</v>
      </c>
    </row>
    <row r="28" spans="1:9" x14ac:dyDescent="0.25">
      <c r="A28" t="str">
        <f>Zbiorcza!AP31</f>
        <v>IV 2017</v>
      </c>
      <c r="B28">
        <f>Zbiorcza!AQ31</f>
        <v>6271.4</v>
      </c>
      <c r="C28">
        <f>Zbiorcza!AR31</f>
        <v>0</v>
      </c>
      <c r="D28">
        <f>Zbiorcza!AS31</f>
        <v>1</v>
      </c>
      <c r="E28">
        <f>Zbiorcza!AT31</f>
        <v>0</v>
      </c>
      <c r="F28">
        <f>Zbiorcza!AU31</f>
        <v>102.92221708339623</v>
      </c>
      <c r="G28">
        <f>Zbiorcza!AV31</f>
        <v>2.9</v>
      </c>
      <c r="H28">
        <f>Zbiorcza!AW31</f>
        <v>4779.32</v>
      </c>
      <c r="I28">
        <f>Zbiorcza!AX31</f>
        <v>6077.2615000000005</v>
      </c>
    </row>
    <row r="29" spans="1:9" x14ac:dyDescent="0.25">
      <c r="A29" t="str">
        <f>Zbiorcza!AP32</f>
        <v>I 2018</v>
      </c>
      <c r="B29">
        <f>Zbiorcza!AQ32</f>
        <v>6723.4395000000004</v>
      </c>
      <c r="C29">
        <f>Zbiorcza!AR32</f>
        <v>0</v>
      </c>
      <c r="D29">
        <f>Zbiorcza!AS32</f>
        <v>1</v>
      </c>
      <c r="E29">
        <f>Zbiorcza!AT32</f>
        <v>0</v>
      </c>
      <c r="F29">
        <f>Zbiorcza!AU32</f>
        <v>103.33390595172982</v>
      </c>
      <c r="G29">
        <f>Zbiorcza!AV32</f>
        <v>2.7999999999999994</v>
      </c>
      <c r="H29">
        <f>Zbiorcza!AW32</f>
        <v>4948.0600000000004</v>
      </c>
      <c r="I29">
        <f>Zbiorcza!AX32</f>
        <v>6271.4</v>
      </c>
    </row>
    <row r="30" spans="1:9" x14ac:dyDescent="0.25">
      <c r="A30" t="str">
        <f>Zbiorcza!AP33</f>
        <v>II 2018</v>
      </c>
      <c r="B30">
        <f>Zbiorcza!AQ33</f>
        <v>7004.4259999999995</v>
      </c>
      <c r="C30">
        <f>Zbiorcza!AR33</f>
        <v>0</v>
      </c>
      <c r="D30">
        <f>Zbiorcza!AS33</f>
        <v>1</v>
      </c>
      <c r="E30">
        <f>Zbiorcza!AT33</f>
        <v>0</v>
      </c>
      <c r="F30">
        <f>Zbiorcza!AU33</f>
        <v>104.26391110529539</v>
      </c>
      <c r="G30">
        <f>Zbiorcza!AV33</f>
        <v>2.6666666666666665</v>
      </c>
      <c r="H30">
        <f>Zbiorcza!AW33</f>
        <v>4762.92</v>
      </c>
      <c r="I30">
        <f>Zbiorcza!AX33</f>
        <v>6723.4395000000004</v>
      </c>
    </row>
    <row r="31" spans="1:9" x14ac:dyDescent="0.25">
      <c r="A31" t="str">
        <f>Zbiorcza!AP34</f>
        <v>III 2018</v>
      </c>
      <c r="B31">
        <f>Zbiorcza!AQ34</f>
        <v>7034.1040000000003</v>
      </c>
      <c r="C31">
        <f>Zbiorcza!AR34</f>
        <v>0</v>
      </c>
      <c r="D31">
        <f>Zbiorcza!AS34</f>
        <v>1</v>
      </c>
      <c r="E31">
        <f>Zbiorcza!AT34</f>
        <v>0</v>
      </c>
      <c r="F31">
        <f>Zbiorcza!AU34</f>
        <v>104.15964719419011</v>
      </c>
      <c r="G31">
        <f>Zbiorcza!AV34</f>
        <v>2.6</v>
      </c>
      <c r="H31">
        <f>Zbiorcza!AW34</f>
        <v>4868.6400000000003</v>
      </c>
      <c r="I31">
        <f>Zbiorcza!AX34</f>
        <v>7004.4259999999995</v>
      </c>
    </row>
    <row r="32" spans="1:9" x14ac:dyDescent="0.25">
      <c r="A32" t="str">
        <f>Zbiorcza!AP35</f>
        <v>IV 2018</v>
      </c>
      <c r="B32">
        <f>Zbiorcza!AQ35</f>
        <v>7093.89</v>
      </c>
      <c r="C32">
        <f>Zbiorcza!AR35</f>
        <v>0</v>
      </c>
      <c r="D32">
        <f>Zbiorcza!AS35</f>
        <v>1</v>
      </c>
      <c r="E32">
        <f>Zbiorcza!AT35</f>
        <v>0</v>
      </c>
      <c r="F32">
        <f>Zbiorcza!AU35</f>
        <v>104.57628578296688</v>
      </c>
      <c r="G32">
        <f>Zbiorcza!AV35</f>
        <v>2.6</v>
      </c>
      <c r="H32">
        <f>Zbiorcza!AW35</f>
        <v>5097.63</v>
      </c>
      <c r="I32">
        <f>Zbiorcza!AX35</f>
        <v>7034.1040000000003</v>
      </c>
    </row>
    <row r="33" spans="1:9" x14ac:dyDescent="0.25">
      <c r="A33" t="str">
        <f>Zbiorcza!AP36</f>
        <v>I 2015</v>
      </c>
      <c r="B33">
        <f>Zbiorcza!AQ36</f>
        <v>5487.3499999999995</v>
      </c>
      <c r="C33">
        <f>Zbiorcza!AR36</f>
        <v>0</v>
      </c>
      <c r="D33">
        <f>Zbiorcza!AS36</f>
        <v>0</v>
      </c>
      <c r="E33">
        <f>Zbiorcza!AT36</f>
        <v>1</v>
      </c>
      <c r="F33">
        <f>Zbiorcza!AU36</f>
        <v>100</v>
      </c>
      <c r="G33">
        <f>Zbiorcza!AV36</f>
        <v>5.7333333333333334</v>
      </c>
      <c r="H33">
        <f>Zbiorcza!AW36</f>
        <v>4376.7700000000004</v>
      </c>
      <c r="I33">
        <f>Zbiorcza!AX36</f>
        <v>7093.89</v>
      </c>
    </row>
    <row r="34" spans="1:9" x14ac:dyDescent="0.25">
      <c r="A34" t="str">
        <f>Zbiorcza!AP37</f>
        <v>II 2015</v>
      </c>
      <c r="B34">
        <f>Zbiorcza!AQ37</f>
        <v>5490.06</v>
      </c>
      <c r="C34">
        <f>Zbiorcza!AR37</f>
        <v>0</v>
      </c>
      <c r="D34">
        <f>Zbiorcza!AS37</f>
        <v>0</v>
      </c>
      <c r="E34">
        <f>Zbiorcza!AT37</f>
        <v>1</v>
      </c>
      <c r="F34">
        <f>Zbiorcza!AU37</f>
        <v>100.6</v>
      </c>
      <c r="G34">
        <f>Zbiorcza!AV37</f>
        <v>5.333333333333333</v>
      </c>
      <c r="H34">
        <f>Zbiorcza!AW37</f>
        <v>4128.8900000000003</v>
      </c>
      <c r="I34">
        <f>Zbiorcza!AX37</f>
        <v>5487.3499999999995</v>
      </c>
    </row>
    <row r="35" spans="1:9" x14ac:dyDescent="0.25">
      <c r="A35" t="str">
        <f>Zbiorcza!AP38</f>
        <v>III 2015</v>
      </c>
      <c r="B35">
        <f>Zbiorcza!AQ38</f>
        <v>5442.68</v>
      </c>
      <c r="C35">
        <f>Zbiorcza!AR38</f>
        <v>0</v>
      </c>
      <c r="D35">
        <f>Zbiorcza!AS38</f>
        <v>0</v>
      </c>
      <c r="E35">
        <f>Zbiorcza!AT38</f>
        <v>1</v>
      </c>
      <c r="F35">
        <f>Zbiorcza!AU38</f>
        <v>100.19759999999999</v>
      </c>
      <c r="G35">
        <f>Zbiorcza!AV38</f>
        <v>4.666666666666667</v>
      </c>
      <c r="H35">
        <f>Zbiorcza!AW38</f>
        <v>4193.17</v>
      </c>
      <c r="I35">
        <f>Zbiorcza!AX38</f>
        <v>5490.06</v>
      </c>
    </row>
    <row r="36" spans="1:9" x14ac:dyDescent="0.25">
      <c r="A36" t="str">
        <f>Zbiorcza!AP39</f>
        <v>IV 2015</v>
      </c>
      <c r="B36">
        <f>Zbiorcza!AQ39</f>
        <v>5416.5766666666668</v>
      </c>
      <c r="C36">
        <f>Zbiorcza!AR39</f>
        <v>0</v>
      </c>
      <c r="D36">
        <f>Zbiorcza!AS39</f>
        <v>0</v>
      </c>
      <c r="E36">
        <f>Zbiorcza!AT39</f>
        <v>1</v>
      </c>
      <c r="F36">
        <f>Zbiorcza!AU39</f>
        <v>100.09740240000001</v>
      </c>
      <c r="G36">
        <f>Zbiorcza!AV39</f>
        <v>4.2</v>
      </c>
      <c r="H36">
        <f>Zbiorcza!AW39</f>
        <v>4350</v>
      </c>
      <c r="I36">
        <f>Zbiorcza!AX39</f>
        <v>5442.68</v>
      </c>
    </row>
    <row r="37" spans="1:9" x14ac:dyDescent="0.25">
      <c r="A37" t="str">
        <f>Zbiorcza!AP40</f>
        <v>I 2016</v>
      </c>
      <c r="B37">
        <f>Zbiorcza!AQ40</f>
        <v>5336.2366666666667</v>
      </c>
      <c r="C37">
        <f>Zbiorcza!AR40</f>
        <v>0</v>
      </c>
      <c r="D37">
        <f>Zbiorcza!AS40</f>
        <v>0</v>
      </c>
      <c r="E37">
        <f>Zbiorcza!AT40</f>
        <v>1</v>
      </c>
      <c r="F37">
        <f>Zbiorcza!AU40</f>
        <v>99.496817985600018</v>
      </c>
      <c r="G37">
        <f>Zbiorcza!AV40</f>
        <v>4.166666666666667</v>
      </c>
      <c r="H37">
        <f>Zbiorcza!AW40</f>
        <v>4491.63</v>
      </c>
      <c r="I37">
        <f>Zbiorcza!AX40</f>
        <v>5416.5766666666668</v>
      </c>
    </row>
    <row r="38" spans="1:9" x14ac:dyDescent="0.25">
      <c r="A38" t="str">
        <f>Zbiorcza!AP41</f>
        <v>II 2016</v>
      </c>
      <c r="B38">
        <f>Zbiorcza!AQ41</f>
        <v>5248.9066666666668</v>
      </c>
      <c r="C38">
        <f>Zbiorcza!AR41</f>
        <v>0</v>
      </c>
      <c r="D38">
        <f>Zbiorcza!AS41</f>
        <v>0</v>
      </c>
      <c r="E38">
        <f>Zbiorcza!AT41</f>
        <v>1</v>
      </c>
      <c r="F38">
        <f>Zbiorcza!AU41</f>
        <v>100.09379889351362</v>
      </c>
      <c r="G38">
        <f>Zbiorcza!AV41</f>
        <v>3.8333333333333335</v>
      </c>
      <c r="H38">
        <f>Zbiorcza!AW41</f>
        <v>4333.0600000000004</v>
      </c>
      <c r="I38">
        <f>Zbiorcza!AX41</f>
        <v>5336.2366666666667</v>
      </c>
    </row>
    <row r="39" spans="1:9" x14ac:dyDescent="0.25">
      <c r="A39" t="str">
        <f>Zbiorcza!AP42</f>
        <v>III 2016</v>
      </c>
      <c r="B39">
        <f>Zbiorcza!AQ42</f>
        <v>5375.5133333333333</v>
      </c>
      <c r="C39">
        <f>Zbiorcza!AR42</f>
        <v>0</v>
      </c>
      <c r="D39">
        <f>Zbiorcza!AS42</f>
        <v>0</v>
      </c>
      <c r="E39">
        <f>Zbiorcza!AT42</f>
        <v>1</v>
      </c>
      <c r="F39">
        <f>Zbiorcza!AU42</f>
        <v>99.993705094620125</v>
      </c>
      <c r="G39">
        <f>Zbiorcza!AV42</f>
        <v>3.7333333333333329</v>
      </c>
      <c r="H39">
        <f>Zbiorcza!AW42</f>
        <v>4352.28</v>
      </c>
      <c r="I39">
        <f>Zbiorcza!AX42</f>
        <v>5248.9066666666668</v>
      </c>
    </row>
    <row r="40" spans="1:9" x14ac:dyDescent="0.25">
      <c r="A40" t="str">
        <f>Zbiorcza!AP43</f>
        <v>IV 2016</v>
      </c>
      <c r="B40">
        <f>Zbiorcza!AQ43</f>
        <v>5504.05</v>
      </c>
      <c r="C40">
        <f>Zbiorcza!AR43</f>
        <v>0</v>
      </c>
      <c r="D40">
        <f>Zbiorcza!AS43</f>
        <v>0</v>
      </c>
      <c r="E40">
        <f>Zbiorcza!AT43</f>
        <v>1</v>
      </c>
      <c r="F40">
        <f>Zbiorcza!AU43</f>
        <v>100.69366103028248</v>
      </c>
      <c r="G40">
        <f>Zbiorcza!AV43</f>
        <v>3.6333333333333333</v>
      </c>
      <c r="H40">
        <f>Zbiorcza!AW43</f>
        <v>4467.88</v>
      </c>
      <c r="I40">
        <f>Zbiorcza!AX43</f>
        <v>5375.5133333333333</v>
      </c>
    </row>
    <row r="41" spans="1:9" x14ac:dyDescent="0.25">
      <c r="A41" t="str">
        <f>Zbiorcza!AP44</f>
        <v>I 2017</v>
      </c>
      <c r="B41">
        <f>Zbiorcza!AQ44</f>
        <v>5683.53</v>
      </c>
      <c r="C41">
        <f>Zbiorcza!AR44</f>
        <v>0</v>
      </c>
      <c r="D41">
        <f>Zbiorcza!AS44</f>
        <v>0</v>
      </c>
      <c r="E41">
        <f>Zbiorcza!AT44</f>
        <v>1</v>
      </c>
      <c r="F41">
        <f>Zbiorcza!AU44</f>
        <v>101.70059764058531</v>
      </c>
      <c r="G41">
        <f>Zbiorcza!AV44</f>
        <v>3.6</v>
      </c>
      <c r="H41">
        <f>Zbiorcza!AW44</f>
        <v>4697.92</v>
      </c>
      <c r="I41">
        <f>Zbiorcza!AX44</f>
        <v>5504.05</v>
      </c>
    </row>
    <row r="42" spans="1:9" x14ac:dyDescent="0.25">
      <c r="A42" t="str">
        <f>Zbiorcza!AP45</f>
        <v>II 2017</v>
      </c>
      <c r="B42">
        <f>Zbiorcza!AQ45</f>
        <v>5872.2353333333331</v>
      </c>
      <c r="C42">
        <f>Zbiorcza!AR45</f>
        <v>0</v>
      </c>
      <c r="D42">
        <f>Zbiorcza!AS45</f>
        <v>0</v>
      </c>
      <c r="E42">
        <f>Zbiorcza!AT45</f>
        <v>1</v>
      </c>
      <c r="F42">
        <f>Zbiorcza!AU45</f>
        <v>102.10740003114766</v>
      </c>
      <c r="G42">
        <f>Zbiorcza!AV45</f>
        <v>3.4</v>
      </c>
      <c r="H42">
        <f>Zbiorcza!AW45</f>
        <v>4501.59</v>
      </c>
      <c r="I42">
        <f>Zbiorcza!AX45</f>
        <v>5683.53</v>
      </c>
    </row>
    <row r="43" spans="1:9" x14ac:dyDescent="0.25">
      <c r="A43" t="str">
        <f>Zbiorcza!AP46</f>
        <v>III 2017</v>
      </c>
      <c r="B43">
        <f>Zbiorcza!AQ46</f>
        <v>6070.808</v>
      </c>
      <c r="C43">
        <f>Zbiorcza!AR46</f>
        <v>0</v>
      </c>
      <c r="D43">
        <f>Zbiorcza!AS46</f>
        <v>0</v>
      </c>
      <c r="E43">
        <f>Zbiorcza!AT46</f>
        <v>1</v>
      </c>
      <c r="F43">
        <f>Zbiorcza!AU46</f>
        <v>101.90318523108537</v>
      </c>
      <c r="G43">
        <f>Zbiorcza!AV46</f>
        <v>3.2666666666666671</v>
      </c>
      <c r="H43">
        <f>Zbiorcza!AW46</f>
        <v>4544.1400000000003</v>
      </c>
      <c r="I43">
        <f>Zbiorcza!AX46</f>
        <v>5872.2353333333331</v>
      </c>
    </row>
    <row r="44" spans="1:9" x14ac:dyDescent="0.25">
      <c r="A44" t="str">
        <f>Zbiorcza!AP47</f>
        <v>IV 2017</v>
      </c>
      <c r="B44">
        <f>Zbiorcza!AQ47</f>
        <v>6176.4266666666663</v>
      </c>
      <c r="C44">
        <f>Zbiorcza!AR47</f>
        <v>0</v>
      </c>
      <c r="D44">
        <f>Zbiorcza!AS47</f>
        <v>0</v>
      </c>
      <c r="E44">
        <f>Zbiorcza!AT47</f>
        <v>1</v>
      </c>
      <c r="F44">
        <f>Zbiorcza!AU47</f>
        <v>102.92221708339623</v>
      </c>
      <c r="G44">
        <f>Zbiorcza!AV47</f>
        <v>2.9</v>
      </c>
      <c r="H44">
        <f>Zbiorcza!AW47</f>
        <v>4779.32</v>
      </c>
      <c r="I44">
        <f>Zbiorcza!AX47</f>
        <v>6070.808</v>
      </c>
    </row>
    <row r="45" spans="1:9" x14ac:dyDescent="0.25">
      <c r="A45" t="str">
        <f>Zbiorcza!AP48</f>
        <v>I 2018</v>
      </c>
      <c r="B45">
        <f>Zbiorcza!AQ48</f>
        <v>6220.8483333333324</v>
      </c>
      <c r="C45">
        <f>Zbiorcza!AR48</f>
        <v>0</v>
      </c>
      <c r="D45">
        <f>Zbiorcza!AS48</f>
        <v>0</v>
      </c>
      <c r="E45">
        <f>Zbiorcza!AT48</f>
        <v>1</v>
      </c>
      <c r="F45">
        <f>Zbiorcza!AU48</f>
        <v>103.33390595172982</v>
      </c>
      <c r="G45">
        <f>Zbiorcza!AV48</f>
        <v>2.7999999999999994</v>
      </c>
      <c r="H45">
        <f>Zbiorcza!AW48</f>
        <v>4948.0600000000004</v>
      </c>
      <c r="I45">
        <f>Zbiorcza!AX48</f>
        <v>6176.4266666666663</v>
      </c>
    </row>
    <row r="46" spans="1:9" x14ac:dyDescent="0.25">
      <c r="A46" t="str">
        <f>Zbiorcza!AP49</f>
        <v>II 2018</v>
      </c>
      <c r="B46">
        <f>Zbiorcza!AQ49</f>
        <v>6518.3636666666671</v>
      </c>
      <c r="C46">
        <f>Zbiorcza!AR49</f>
        <v>0</v>
      </c>
      <c r="D46">
        <f>Zbiorcza!AS49</f>
        <v>0</v>
      </c>
      <c r="E46">
        <f>Zbiorcza!AT49</f>
        <v>1</v>
      </c>
      <c r="F46">
        <f>Zbiorcza!AU49</f>
        <v>104.26391110529539</v>
      </c>
      <c r="G46">
        <f>Zbiorcza!AV49</f>
        <v>2.6666666666666665</v>
      </c>
      <c r="H46">
        <f>Zbiorcza!AW49</f>
        <v>4762.92</v>
      </c>
      <c r="I46">
        <f>Zbiorcza!AX49</f>
        <v>6220.8483333333324</v>
      </c>
    </row>
    <row r="47" spans="1:9" x14ac:dyDescent="0.25">
      <c r="A47" t="str">
        <f>Zbiorcza!AP50</f>
        <v>III 2018</v>
      </c>
      <c r="B47">
        <f>Zbiorcza!AQ50</f>
        <v>6461.683</v>
      </c>
      <c r="C47">
        <f>Zbiorcza!AR50</f>
        <v>0</v>
      </c>
      <c r="D47">
        <f>Zbiorcza!AS50</f>
        <v>0</v>
      </c>
      <c r="E47">
        <f>Zbiorcza!AT50</f>
        <v>1</v>
      </c>
      <c r="F47">
        <f>Zbiorcza!AU50</f>
        <v>104.15964719419011</v>
      </c>
      <c r="G47">
        <f>Zbiorcza!AV50</f>
        <v>2.6</v>
      </c>
      <c r="H47">
        <f>Zbiorcza!AW50</f>
        <v>4868.6400000000003</v>
      </c>
      <c r="I47">
        <f>Zbiorcza!AX50</f>
        <v>6518.3636666666671</v>
      </c>
    </row>
    <row r="48" spans="1:9" x14ac:dyDescent="0.25">
      <c r="A48" t="str">
        <f>Zbiorcza!AP51</f>
        <v>IV 2018</v>
      </c>
      <c r="B48">
        <f>Zbiorcza!AQ51</f>
        <v>6740.003333333334</v>
      </c>
      <c r="C48">
        <f>Zbiorcza!AR51</f>
        <v>0</v>
      </c>
      <c r="D48">
        <f>Zbiorcza!AS51</f>
        <v>0</v>
      </c>
      <c r="E48">
        <f>Zbiorcza!AT51</f>
        <v>1</v>
      </c>
      <c r="F48">
        <f>Zbiorcza!AU51</f>
        <v>104.57628578296688</v>
      </c>
      <c r="G48">
        <f>Zbiorcza!AV51</f>
        <v>2.6</v>
      </c>
      <c r="H48">
        <f>Zbiorcza!AW51</f>
        <v>5097.63</v>
      </c>
      <c r="I48">
        <f>Zbiorcza!AX51</f>
        <v>6461.683</v>
      </c>
    </row>
    <row r="49" spans="1:9" x14ac:dyDescent="0.25">
      <c r="A49" t="str">
        <f>Zbiorcza!AP52</f>
        <v>I 2015</v>
      </c>
      <c r="B49">
        <f>Zbiorcza!AQ52</f>
        <v>6047.2950000000001</v>
      </c>
      <c r="C49">
        <f>Zbiorcza!AR52</f>
        <v>-1</v>
      </c>
      <c r="D49">
        <f>Zbiorcza!AS52</f>
        <v>-1</v>
      </c>
      <c r="E49">
        <f>Zbiorcza!AT52</f>
        <v>-1</v>
      </c>
      <c r="F49">
        <f>Zbiorcza!AU52</f>
        <v>100</v>
      </c>
      <c r="G49">
        <f>Zbiorcza!AV52</f>
        <v>5.7333333333333334</v>
      </c>
      <c r="H49">
        <f>Zbiorcza!AW52</f>
        <v>4376.7700000000004</v>
      </c>
      <c r="I49">
        <f>Zbiorcza!AX52</f>
        <v>6740.003333333334</v>
      </c>
    </row>
    <row r="50" spans="1:9" x14ac:dyDescent="0.25">
      <c r="A50" t="str">
        <f>Zbiorcza!AP53</f>
        <v>II 2015</v>
      </c>
      <c r="B50">
        <f>Zbiorcza!AQ53</f>
        <v>5724.71</v>
      </c>
      <c r="C50">
        <f>Zbiorcza!AR53</f>
        <v>-1</v>
      </c>
      <c r="D50">
        <f>Zbiorcza!AS53</f>
        <v>-1</v>
      </c>
      <c r="E50">
        <f>Zbiorcza!AT53</f>
        <v>-1</v>
      </c>
      <c r="F50">
        <f>Zbiorcza!AU53</f>
        <v>100.6</v>
      </c>
      <c r="G50">
        <f>Zbiorcza!AV53</f>
        <v>5.333333333333333</v>
      </c>
      <c r="H50">
        <f>Zbiorcza!AW53</f>
        <v>4128.8900000000003</v>
      </c>
      <c r="I50">
        <f>Zbiorcza!AX53</f>
        <v>6047.2950000000001</v>
      </c>
    </row>
    <row r="51" spans="1:9" x14ac:dyDescent="0.25">
      <c r="A51" t="str">
        <f>Zbiorcza!AP54</f>
        <v>III 2015</v>
      </c>
      <c r="B51">
        <f>Zbiorcza!AQ54</f>
        <v>5676.63</v>
      </c>
      <c r="C51">
        <f>Zbiorcza!AR54</f>
        <v>-1</v>
      </c>
      <c r="D51">
        <f>Zbiorcza!AS54</f>
        <v>-1</v>
      </c>
      <c r="E51">
        <f>Zbiorcza!AT54</f>
        <v>-1</v>
      </c>
      <c r="F51">
        <f>Zbiorcza!AU54</f>
        <v>100.19759999999999</v>
      </c>
      <c r="G51">
        <f>Zbiorcza!AV54</f>
        <v>4.666666666666667</v>
      </c>
      <c r="H51">
        <f>Zbiorcza!AW54</f>
        <v>4193.17</v>
      </c>
      <c r="I51">
        <f>Zbiorcza!AX54</f>
        <v>5724.71</v>
      </c>
    </row>
    <row r="52" spans="1:9" x14ac:dyDescent="0.25">
      <c r="A52" t="str">
        <f>Zbiorcza!AP55</f>
        <v>IV 2015</v>
      </c>
      <c r="B52">
        <f>Zbiorcza!AQ55</f>
        <v>5385.8549999999996</v>
      </c>
      <c r="C52">
        <f>Zbiorcza!AR55</f>
        <v>-1</v>
      </c>
      <c r="D52">
        <f>Zbiorcza!AS55</f>
        <v>-1</v>
      </c>
      <c r="E52">
        <f>Zbiorcza!AT55</f>
        <v>-1</v>
      </c>
      <c r="F52">
        <f>Zbiorcza!AU55</f>
        <v>100.09740240000001</v>
      </c>
      <c r="G52">
        <f>Zbiorcza!AV55</f>
        <v>4.2</v>
      </c>
      <c r="H52">
        <f>Zbiorcza!AW55</f>
        <v>4350</v>
      </c>
      <c r="I52">
        <f>Zbiorcza!AX55</f>
        <v>5676.63</v>
      </c>
    </row>
    <row r="53" spans="1:9" x14ac:dyDescent="0.25">
      <c r="A53" t="str">
        <f>Zbiorcza!AP56</f>
        <v>I 2016</v>
      </c>
      <c r="B53">
        <f>Zbiorcza!AQ56</f>
        <v>5420.71</v>
      </c>
      <c r="C53">
        <f>Zbiorcza!AR56</f>
        <v>-1</v>
      </c>
      <c r="D53">
        <f>Zbiorcza!AS56</f>
        <v>-1</v>
      </c>
      <c r="E53">
        <f>Zbiorcza!AT56</f>
        <v>-1</v>
      </c>
      <c r="F53">
        <f>Zbiorcza!AU56</f>
        <v>99.496817985600018</v>
      </c>
      <c r="G53">
        <f>Zbiorcza!AV56</f>
        <v>4.166666666666667</v>
      </c>
      <c r="H53">
        <f>Zbiorcza!AW56</f>
        <v>4491.63</v>
      </c>
      <c r="I53">
        <f>Zbiorcza!AX56</f>
        <v>5385.8549999999996</v>
      </c>
    </row>
    <row r="54" spans="1:9" x14ac:dyDescent="0.25">
      <c r="A54" t="str">
        <f>Zbiorcza!AP57</f>
        <v>II 2016</v>
      </c>
      <c r="B54">
        <f>Zbiorcza!AQ57</f>
        <v>5394.17</v>
      </c>
      <c r="C54">
        <f>Zbiorcza!AR57</f>
        <v>-1</v>
      </c>
      <c r="D54">
        <f>Zbiorcza!AS57</f>
        <v>-1</v>
      </c>
      <c r="E54">
        <f>Zbiorcza!AT57</f>
        <v>-1</v>
      </c>
      <c r="F54">
        <f>Zbiorcza!AU57</f>
        <v>100.09379889351362</v>
      </c>
      <c r="G54">
        <f>Zbiorcza!AV57</f>
        <v>3.8333333333333335</v>
      </c>
      <c r="H54">
        <f>Zbiorcza!AW57</f>
        <v>4333.0600000000004</v>
      </c>
      <c r="I54">
        <f>Zbiorcza!AX57</f>
        <v>5420.71</v>
      </c>
    </row>
    <row r="55" spans="1:9" x14ac:dyDescent="0.25">
      <c r="A55" t="str">
        <f>Zbiorcza!AP58</f>
        <v>III 2016</v>
      </c>
      <c r="B55">
        <f>Zbiorcza!AQ58</f>
        <v>5540.9249999999993</v>
      </c>
      <c r="C55">
        <f>Zbiorcza!AR58</f>
        <v>-1</v>
      </c>
      <c r="D55">
        <f>Zbiorcza!AS58</f>
        <v>-1</v>
      </c>
      <c r="E55">
        <f>Zbiorcza!AT58</f>
        <v>-1</v>
      </c>
      <c r="F55">
        <f>Zbiorcza!AU58</f>
        <v>99.993705094620125</v>
      </c>
      <c r="G55">
        <f>Zbiorcza!AV58</f>
        <v>3.7333333333333329</v>
      </c>
      <c r="H55">
        <f>Zbiorcza!AW58</f>
        <v>4352.28</v>
      </c>
      <c r="I55">
        <f>Zbiorcza!AX58</f>
        <v>5394.17</v>
      </c>
    </row>
    <row r="56" spans="1:9" x14ac:dyDescent="0.25">
      <c r="A56" t="str">
        <f>Zbiorcza!AP59</f>
        <v>IV 2016</v>
      </c>
      <c r="B56">
        <f>Zbiorcza!AQ59</f>
        <v>5670.49</v>
      </c>
      <c r="C56">
        <f>Zbiorcza!AR59</f>
        <v>-1</v>
      </c>
      <c r="D56">
        <f>Zbiorcza!AS59</f>
        <v>-1</v>
      </c>
      <c r="E56">
        <f>Zbiorcza!AT59</f>
        <v>-1</v>
      </c>
      <c r="F56">
        <f>Zbiorcza!AU59</f>
        <v>100.69366103028248</v>
      </c>
      <c r="G56">
        <f>Zbiorcza!AV59</f>
        <v>3.6333333333333333</v>
      </c>
      <c r="H56">
        <f>Zbiorcza!AW59</f>
        <v>4467.88</v>
      </c>
      <c r="I56">
        <f>Zbiorcza!AX59</f>
        <v>5540.9249999999993</v>
      </c>
    </row>
    <row r="57" spans="1:9" x14ac:dyDescent="0.25">
      <c r="A57" t="str">
        <f>Zbiorcza!AP60</f>
        <v>I 2017</v>
      </c>
      <c r="B57">
        <f>Zbiorcza!AQ60</f>
        <v>5855.8649999999998</v>
      </c>
      <c r="C57">
        <f>Zbiorcza!AR60</f>
        <v>-1</v>
      </c>
      <c r="D57">
        <f>Zbiorcza!AS60</f>
        <v>-1</v>
      </c>
      <c r="E57">
        <f>Zbiorcza!AT60</f>
        <v>-1</v>
      </c>
      <c r="F57">
        <f>Zbiorcza!AU60</f>
        <v>101.70059764058531</v>
      </c>
      <c r="G57">
        <f>Zbiorcza!AV60</f>
        <v>3.6</v>
      </c>
      <c r="H57">
        <f>Zbiorcza!AW60</f>
        <v>4697.92</v>
      </c>
      <c r="I57">
        <f>Zbiorcza!AX60</f>
        <v>5670.49</v>
      </c>
    </row>
    <row r="58" spans="1:9" x14ac:dyDescent="0.25">
      <c r="A58" t="str">
        <f>Zbiorcza!AP61</f>
        <v>II 2017</v>
      </c>
      <c r="B58">
        <f>Zbiorcza!AQ61</f>
        <v>5689.732</v>
      </c>
      <c r="C58">
        <f>Zbiorcza!AR61</f>
        <v>-1</v>
      </c>
      <c r="D58">
        <f>Zbiorcza!AS61</f>
        <v>-1</v>
      </c>
      <c r="E58">
        <f>Zbiorcza!AT61</f>
        <v>-1</v>
      </c>
      <c r="F58">
        <f>Zbiorcza!AU61</f>
        <v>102.10740003114766</v>
      </c>
      <c r="G58">
        <f>Zbiorcza!AV61</f>
        <v>3.4</v>
      </c>
      <c r="H58">
        <f>Zbiorcza!AW61</f>
        <v>4501.59</v>
      </c>
      <c r="I58">
        <f>Zbiorcza!AX61</f>
        <v>5855.8649999999998</v>
      </c>
    </row>
    <row r="59" spans="1:9" x14ac:dyDescent="0.25">
      <c r="A59" t="str">
        <f>Zbiorcza!AP62</f>
        <v>III 2017</v>
      </c>
      <c r="B59">
        <f>Zbiorcza!AQ62</f>
        <v>5740.45</v>
      </c>
      <c r="C59">
        <f>Zbiorcza!AR62</f>
        <v>-1</v>
      </c>
      <c r="D59">
        <f>Zbiorcza!AS62</f>
        <v>-1</v>
      </c>
      <c r="E59">
        <f>Zbiorcza!AT62</f>
        <v>-1</v>
      </c>
      <c r="F59">
        <f>Zbiorcza!AU62</f>
        <v>101.90318523108537</v>
      </c>
      <c r="G59">
        <f>Zbiorcza!AV62</f>
        <v>3.2666666666666671</v>
      </c>
      <c r="H59">
        <f>Zbiorcza!AW62</f>
        <v>4544.1400000000003</v>
      </c>
      <c r="I59">
        <f>Zbiorcza!AX62</f>
        <v>5689.732</v>
      </c>
    </row>
    <row r="60" spans="1:9" x14ac:dyDescent="0.25">
      <c r="A60" t="str">
        <f>Zbiorcza!AP63</f>
        <v>IV 2017</v>
      </c>
      <c r="B60">
        <f>Zbiorcza!AQ63</f>
        <v>5959.8099999999995</v>
      </c>
      <c r="C60">
        <f>Zbiorcza!AR63</f>
        <v>-1</v>
      </c>
      <c r="D60">
        <f>Zbiorcza!AS63</f>
        <v>-1</v>
      </c>
      <c r="E60">
        <f>Zbiorcza!AT63</f>
        <v>-1</v>
      </c>
      <c r="F60">
        <f>Zbiorcza!AU63</f>
        <v>102.92221708339623</v>
      </c>
      <c r="G60">
        <f>Zbiorcza!AV63</f>
        <v>2.9</v>
      </c>
      <c r="H60">
        <f>Zbiorcza!AW63</f>
        <v>4779.32</v>
      </c>
      <c r="I60">
        <f>Zbiorcza!AX63</f>
        <v>5740.45</v>
      </c>
    </row>
    <row r="61" spans="1:9" x14ac:dyDescent="0.25">
      <c r="A61" t="str">
        <f>Zbiorcza!AP64</f>
        <v>I 2018</v>
      </c>
      <c r="B61">
        <f>Zbiorcza!AQ64</f>
        <v>6250.4135000000006</v>
      </c>
      <c r="C61">
        <f>Zbiorcza!AR64</f>
        <v>-1</v>
      </c>
      <c r="D61">
        <f>Zbiorcza!AS64</f>
        <v>-1</v>
      </c>
      <c r="E61">
        <f>Zbiorcza!AT64</f>
        <v>-1</v>
      </c>
      <c r="F61">
        <f>Zbiorcza!AU64</f>
        <v>103.33390595172982</v>
      </c>
      <c r="G61">
        <f>Zbiorcza!AV64</f>
        <v>2.7999999999999994</v>
      </c>
      <c r="H61">
        <f>Zbiorcza!AW64</f>
        <v>4948.0600000000004</v>
      </c>
      <c r="I61">
        <f>Zbiorcza!AX64</f>
        <v>5959.8099999999995</v>
      </c>
    </row>
    <row r="62" spans="1:9" x14ac:dyDescent="0.25">
      <c r="A62" t="str">
        <f>Zbiorcza!AP65</f>
        <v>II 2018</v>
      </c>
      <c r="B62">
        <f>Zbiorcza!AQ65</f>
        <v>6517.0550000000003</v>
      </c>
      <c r="C62">
        <f>Zbiorcza!AR65</f>
        <v>-1</v>
      </c>
      <c r="D62">
        <f>Zbiorcza!AS65</f>
        <v>-1</v>
      </c>
      <c r="E62">
        <f>Zbiorcza!AT65</f>
        <v>-1</v>
      </c>
      <c r="F62">
        <f>Zbiorcza!AU65</f>
        <v>104.26391110529539</v>
      </c>
      <c r="G62">
        <f>Zbiorcza!AV65</f>
        <v>2.6666666666666665</v>
      </c>
      <c r="H62">
        <f>Zbiorcza!AW65</f>
        <v>4762.92</v>
      </c>
      <c r="I62">
        <f>Zbiorcza!AX65</f>
        <v>6250.4135000000006</v>
      </c>
    </row>
    <row r="63" spans="1:9" x14ac:dyDescent="0.25">
      <c r="A63" t="str">
        <f>Zbiorcza!AP66</f>
        <v>III 2018</v>
      </c>
      <c r="B63">
        <f>Zbiorcza!AQ66</f>
        <v>6877.8559999999998</v>
      </c>
      <c r="C63">
        <f>Zbiorcza!AR66</f>
        <v>-1</v>
      </c>
      <c r="D63">
        <f>Zbiorcza!AS66</f>
        <v>-1</v>
      </c>
      <c r="E63">
        <f>Zbiorcza!AT66</f>
        <v>-1</v>
      </c>
      <c r="F63">
        <f>Zbiorcza!AU66</f>
        <v>104.15964719419011</v>
      </c>
      <c r="G63">
        <f>Zbiorcza!AV66</f>
        <v>2.6</v>
      </c>
      <c r="H63">
        <f>Zbiorcza!AW66</f>
        <v>4868.6400000000003</v>
      </c>
      <c r="I63">
        <f>Zbiorcza!AX66</f>
        <v>6517.0550000000003</v>
      </c>
    </row>
    <row r="64" spans="1:9" x14ac:dyDescent="0.25">
      <c r="A64" t="str">
        <f>Zbiorcza!AP67</f>
        <v>IV 2018</v>
      </c>
      <c r="B64">
        <f>Zbiorcza!AQ67</f>
        <v>6893.2250000000004</v>
      </c>
      <c r="C64">
        <f>Zbiorcza!AR67</f>
        <v>-1</v>
      </c>
      <c r="D64">
        <f>Zbiorcza!AS67</f>
        <v>-1</v>
      </c>
      <c r="E64">
        <f>Zbiorcza!AT67</f>
        <v>-1</v>
      </c>
      <c r="F64">
        <f>Zbiorcza!AU67</f>
        <v>104.57628578296688</v>
      </c>
      <c r="G64">
        <f>Zbiorcza!AV67</f>
        <v>2.6</v>
      </c>
      <c r="H64">
        <f>Zbiorcza!AW67</f>
        <v>5097.63</v>
      </c>
      <c r="I64">
        <f>Zbiorcza!AX67</f>
        <v>6877.8559999999998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A18" sqref="A18:H33"/>
    </sheetView>
  </sheetViews>
  <sheetFormatPr defaultRowHeight="15" x14ac:dyDescent="0.25"/>
  <sheetData>
    <row r="1" spans="1:8" x14ac:dyDescent="0.25">
      <c r="A1" s="33" t="str">
        <f>Zbiorcza!AF72</f>
        <v>Kw</v>
      </c>
      <c r="B1" s="33" t="str">
        <f>Zbiorcza!AG72</f>
        <v>Cena</v>
      </c>
      <c r="C1" s="33" t="str">
        <f>Zbiorcza!AH72</f>
        <v>M_do35</v>
      </c>
      <c r="D1" s="33" t="str">
        <f>Zbiorcza!AI72</f>
        <v>M_35-50</v>
      </c>
      <c r="E1" s="33" t="str">
        <f>Zbiorcza!AJ72</f>
        <v>M_50-80</v>
      </c>
      <c r="F1" s="33" t="str">
        <f>Zbiorcza!AK72</f>
        <v>Wsk_cen</v>
      </c>
      <c r="G1" s="33" t="str">
        <f>Zbiorcza!AL72</f>
        <v>Bezr</v>
      </c>
      <c r="H1" s="33" t="str">
        <f>Zbiorcza!AM72</f>
        <v>W</v>
      </c>
    </row>
    <row r="2" spans="1:8" x14ac:dyDescent="0.25">
      <c r="A2" s="33" t="str">
        <f>Zbiorcza!AF73</f>
        <v>I 2015</v>
      </c>
      <c r="B2" s="33">
        <f>Zbiorcza!AG73</f>
        <v>6455.71</v>
      </c>
      <c r="C2" s="33">
        <f>Zbiorcza!AH73</f>
        <v>1</v>
      </c>
      <c r="D2" s="33">
        <f>Zbiorcza!AI73</f>
        <v>0</v>
      </c>
      <c r="E2" s="33">
        <f>Zbiorcza!AJ73</f>
        <v>0</v>
      </c>
      <c r="F2" s="33">
        <f>Zbiorcza!AK73</f>
        <v>100</v>
      </c>
      <c r="G2" s="33">
        <f>Zbiorcza!AL73</f>
        <v>4.1333333333333337</v>
      </c>
      <c r="H2" s="33">
        <f>Zbiorcza!AM73</f>
        <v>4290.7299999999996</v>
      </c>
    </row>
    <row r="3" spans="1:8" x14ac:dyDescent="0.25">
      <c r="A3" s="33" t="str">
        <f>Zbiorcza!AF74</f>
        <v>II 2015</v>
      </c>
      <c r="B3" s="33">
        <f>Zbiorcza!AG74</f>
        <v>5991.98</v>
      </c>
      <c r="C3" s="33">
        <f>Zbiorcza!AH74</f>
        <v>1</v>
      </c>
      <c r="D3" s="33">
        <f>Zbiorcza!AI74</f>
        <v>0</v>
      </c>
      <c r="E3" s="33">
        <f>Zbiorcza!AJ74</f>
        <v>0</v>
      </c>
      <c r="F3" s="33">
        <f>Zbiorcza!AK74</f>
        <v>100.49999999999999</v>
      </c>
      <c r="G3" s="33">
        <f>Zbiorcza!AL74</f>
        <v>3.9</v>
      </c>
      <c r="H3" s="33">
        <f>Zbiorcza!AM74</f>
        <v>4230.3599999999997</v>
      </c>
    </row>
    <row r="4" spans="1:8" x14ac:dyDescent="0.25">
      <c r="A4" s="33" t="str">
        <f>Zbiorcza!AF75</f>
        <v>III 2015</v>
      </c>
      <c r="B4" s="33">
        <f>Zbiorcza!AG75</f>
        <v>5760.3</v>
      </c>
      <c r="C4" s="33">
        <f>Zbiorcza!AH75</f>
        <v>1</v>
      </c>
      <c r="D4" s="33">
        <f>Zbiorcza!AI75</f>
        <v>0</v>
      </c>
      <c r="E4" s="33">
        <f>Zbiorcza!AJ75</f>
        <v>0</v>
      </c>
      <c r="F4" s="33">
        <f>Zbiorcza!AK75</f>
        <v>100.19849999999998</v>
      </c>
      <c r="G4" s="33">
        <f>Zbiorcza!AL75</f>
        <v>3.6333333333333333</v>
      </c>
      <c r="H4" s="33">
        <f>Zbiorcza!AM75</f>
        <v>4192.01</v>
      </c>
    </row>
    <row r="5" spans="1:8" x14ac:dyDescent="0.25">
      <c r="A5" s="33" t="str">
        <f>Zbiorcza!AF76</f>
        <v>IV 2015</v>
      </c>
      <c r="B5" s="33">
        <f>Zbiorcza!AG76</f>
        <v>5686.69</v>
      </c>
      <c r="C5" s="33">
        <f>Zbiorcza!AH76</f>
        <v>1</v>
      </c>
      <c r="D5" s="33">
        <f>Zbiorcza!AI76</f>
        <v>0</v>
      </c>
      <c r="E5" s="33">
        <f>Zbiorcza!AJ76</f>
        <v>0</v>
      </c>
      <c r="F5" s="33">
        <f>Zbiorcza!AK76</f>
        <v>99.797705999999977</v>
      </c>
      <c r="G5" s="33">
        <f>Zbiorcza!AL76</f>
        <v>3.4</v>
      </c>
      <c r="H5" s="33">
        <f>Zbiorcza!AM76</f>
        <v>4417.13</v>
      </c>
    </row>
    <row r="6" spans="1:8" x14ac:dyDescent="0.25">
      <c r="A6" s="33" t="str">
        <f>Zbiorcza!AF77</f>
        <v>I 2016</v>
      </c>
      <c r="B6" s="33">
        <f>Zbiorcza!AG77</f>
        <v>5845.09</v>
      </c>
      <c r="C6" s="33">
        <f>Zbiorcza!AH77</f>
        <v>1</v>
      </c>
      <c r="D6" s="33">
        <f>Zbiorcza!AI77</f>
        <v>0</v>
      </c>
      <c r="E6" s="33">
        <f>Zbiorcza!AJ77</f>
        <v>0</v>
      </c>
      <c r="F6" s="33">
        <f>Zbiorcza!AK77</f>
        <v>99.099122057999978</v>
      </c>
      <c r="G6" s="33">
        <f>Zbiorcza!AL77</f>
        <v>3.4333333333333336</v>
      </c>
      <c r="H6" s="33">
        <f>Zbiorcza!AM77</f>
        <v>4443.83</v>
      </c>
    </row>
    <row r="7" spans="1:8" x14ac:dyDescent="0.25">
      <c r="A7" s="33" t="str">
        <f>Zbiorcza!AF78</f>
        <v>II 2016</v>
      </c>
      <c r="B7" s="33">
        <f>Zbiorcza!AG78</f>
        <v>5896.12</v>
      </c>
      <c r="C7" s="33">
        <f>Zbiorcza!AH78</f>
        <v>1</v>
      </c>
      <c r="D7" s="33">
        <f>Zbiorcza!AI78</f>
        <v>0</v>
      </c>
      <c r="E7" s="33">
        <f>Zbiorcza!AJ78</f>
        <v>0</v>
      </c>
      <c r="F7" s="33">
        <f>Zbiorcza!AK78</f>
        <v>99.59461766828997</v>
      </c>
      <c r="G7" s="33">
        <f>Zbiorcza!AL78</f>
        <v>3.1999999999999997</v>
      </c>
      <c r="H7" s="33">
        <f>Zbiorcza!AM78</f>
        <v>4286.4399999999996</v>
      </c>
    </row>
    <row r="8" spans="1:8" x14ac:dyDescent="0.25">
      <c r="A8" s="33" t="str">
        <f>Zbiorcza!AF79</f>
        <v>III 2016</v>
      </c>
      <c r="B8" s="33">
        <f>Zbiorcza!AG79</f>
        <v>6115.79</v>
      </c>
      <c r="C8" s="33">
        <f>Zbiorcza!AH79</f>
        <v>1</v>
      </c>
      <c r="D8" s="33">
        <f>Zbiorcza!AI79</f>
        <v>0</v>
      </c>
      <c r="E8" s="33">
        <f>Zbiorcza!AJ79</f>
        <v>0</v>
      </c>
      <c r="F8" s="33">
        <f>Zbiorcza!AK79</f>
        <v>99.295833815285107</v>
      </c>
      <c r="G8" s="33">
        <f>Zbiorcza!AL79</f>
        <v>3.0666666666666664</v>
      </c>
      <c r="H8" s="33">
        <f>Zbiorcza!AM79</f>
        <v>4474.43</v>
      </c>
    </row>
    <row r="9" spans="1:8" x14ac:dyDescent="0.25">
      <c r="A9" s="33" t="str">
        <f>Zbiorcza!AF80</f>
        <v>IV 2016</v>
      </c>
      <c r="B9" s="33">
        <f>Zbiorcza!AG80</f>
        <v>6284.16</v>
      </c>
      <c r="C9" s="33">
        <f>Zbiorcza!AH80</f>
        <v>1</v>
      </c>
      <c r="D9" s="33">
        <f>Zbiorcza!AI80</f>
        <v>0</v>
      </c>
      <c r="E9" s="33">
        <f>Zbiorcza!AJ80</f>
        <v>0</v>
      </c>
      <c r="F9" s="33">
        <f>Zbiorcza!AK80</f>
        <v>99.792312984361516</v>
      </c>
      <c r="G9" s="33">
        <f>Zbiorcza!AL80</f>
        <v>2.7999999999999994</v>
      </c>
      <c r="H9" s="33">
        <f>Zbiorcza!AM80</f>
        <v>4616.2299999999996</v>
      </c>
    </row>
    <row r="10" spans="1:8" x14ac:dyDescent="0.25">
      <c r="A10" s="33" t="str">
        <f>Zbiorcza!AF81</f>
        <v>I 2017</v>
      </c>
      <c r="B10" s="33">
        <f>Zbiorcza!AG81</f>
        <v>6522.09</v>
      </c>
      <c r="C10" s="33">
        <f>Zbiorcza!AH81</f>
        <v>1</v>
      </c>
      <c r="D10" s="33">
        <f>Zbiorcza!AI81</f>
        <v>0</v>
      </c>
      <c r="E10" s="33">
        <f>Zbiorcza!AJ81</f>
        <v>0</v>
      </c>
      <c r="F10" s="33">
        <f>Zbiorcza!AK81</f>
        <v>101.0896130531582</v>
      </c>
      <c r="G10" s="33">
        <f>Zbiorcza!AL81</f>
        <v>2.7333333333333329</v>
      </c>
      <c r="H10" s="33">
        <f>Zbiorcza!AM81</f>
        <v>4648.6899999999996</v>
      </c>
    </row>
    <row r="11" spans="1:8" x14ac:dyDescent="0.25">
      <c r="A11" s="33" t="str">
        <f>Zbiorcza!AF82</f>
        <v>II 2017</v>
      </c>
      <c r="B11" s="33">
        <f>Zbiorcza!AG82</f>
        <v>6336.6189999999997</v>
      </c>
      <c r="C11" s="33">
        <f>Zbiorcza!AH82</f>
        <v>1</v>
      </c>
      <c r="D11" s="33">
        <f>Zbiorcza!AI82</f>
        <v>0</v>
      </c>
      <c r="E11" s="33">
        <f>Zbiorcza!AJ82</f>
        <v>0</v>
      </c>
      <c r="F11" s="33">
        <f>Zbiorcza!AK82</f>
        <v>101.29179227926451</v>
      </c>
      <c r="G11" s="33">
        <f>Zbiorcza!AL82</f>
        <v>2.5666666666666669</v>
      </c>
      <c r="H11" s="33">
        <f>Zbiorcza!AM82</f>
        <v>4657.1099999999997</v>
      </c>
    </row>
    <row r="12" spans="1:8" x14ac:dyDescent="0.25">
      <c r="A12" s="33" t="str">
        <f>Zbiorcza!AF83</f>
        <v>III 2017</v>
      </c>
      <c r="B12" s="33">
        <f>Zbiorcza!AG83</f>
        <v>6149.75</v>
      </c>
      <c r="C12" s="33">
        <f>Zbiorcza!AH83</f>
        <v>1</v>
      </c>
      <c r="D12" s="33">
        <f>Zbiorcza!AI83</f>
        <v>0</v>
      </c>
      <c r="E12" s="33">
        <f>Zbiorcza!AJ83</f>
        <v>0</v>
      </c>
      <c r="F12" s="33">
        <f>Zbiorcza!AK83</f>
        <v>101.08920869470599</v>
      </c>
      <c r="G12" s="33">
        <f>Zbiorcza!AL83</f>
        <v>2.4333333333333336</v>
      </c>
      <c r="H12" s="33">
        <f>Zbiorcza!AM83</f>
        <v>4607.47</v>
      </c>
    </row>
    <row r="13" spans="1:8" x14ac:dyDescent="0.25">
      <c r="A13" s="33" t="str">
        <f>Zbiorcza!AF84</f>
        <v>IV 2017</v>
      </c>
      <c r="B13" s="33">
        <f>Zbiorcza!AG84</f>
        <v>6348.97</v>
      </c>
      <c r="C13" s="33">
        <f>Zbiorcza!AH84</f>
        <v>1</v>
      </c>
      <c r="D13" s="33">
        <f>Zbiorcza!AI84</f>
        <v>0</v>
      </c>
      <c r="E13" s="33">
        <f>Zbiorcza!AJ84</f>
        <v>0</v>
      </c>
      <c r="F13" s="33">
        <f>Zbiorcza!AK84</f>
        <v>101.99901157295835</v>
      </c>
      <c r="G13" s="33">
        <f>Zbiorcza!AL84</f>
        <v>2.1666666666666665</v>
      </c>
      <c r="H13" s="33">
        <f>Zbiorcza!AM84</f>
        <v>4974.3599999999997</v>
      </c>
    </row>
    <row r="14" spans="1:8" x14ac:dyDescent="0.25">
      <c r="A14" s="33" t="str">
        <f>Zbiorcza!AF85</f>
        <v>I 2018</v>
      </c>
      <c r="B14" s="33">
        <f>Zbiorcza!AG85</f>
        <v>6958.7889999999998</v>
      </c>
      <c r="C14" s="33">
        <f>Zbiorcza!AH85</f>
        <v>1</v>
      </c>
      <c r="D14" s="33">
        <f>Zbiorcza!AI85</f>
        <v>0</v>
      </c>
      <c r="E14" s="33">
        <f>Zbiorcza!AJ85</f>
        <v>0</v>
      </c>
      <c r="F14" s="33">
        <f>Zbiorcza!AK85</f>
        <v>102.30500860767722</v>
      </c>
      <c r="G14" s="33">
        <f>Zbiorcza!AL85</f>
        <v>2.2000000000000002</v>
      </c>
      <c r="H14" s="33">
        <f>Zbiorcza!AM85</f>
        <v>4986.01</v>
      </c>
    </row>
    <row r="15" spans="1:8" x14ac:dyDescent="0.25">
      <c r="A15" s="33" t="str">
        <f>Zbiorcza!AF86</f>
        <v>II 2018</v>
      </c>
      <c r="B15" s="33">
        <f>Zbiorcza!AG86</f>
        <v>6913.8440000000001</v>
      </c>
      <c r="C15" s="33">
        <f>Zbiorcza!AH86</f>
        <v>1</v>
      </c>
      <c r="D15" s="33">
        <f>Zbiorcza!AI86</f>
        <v>0</v>
      </c>
      <c r="E15" s="33">
        <f>Zbiorcza!AJ86</f>
        <v>0</v>
      </c>
      <c r="F15" s="33">
        <f>Zbiorcza!AK86</f>
        <v>102.71422864210793</v>
      </c>
      <c r="G15" s="33">
        <f>Zbiorcza!AL86</f>
        <v>2.0666666666666669</v>
      </c>
      <c r="H15" s="33">
        <f>Zbiorcza!AM86</f>
        <v>4919.18</v>
      </c>
    </row>
    <row r="16" spans="1:8" x14ac:dyDescent="0.25">
      <c r="A16" s="33" t="str">
        <f>Zbiorcza!AF87</f>
        <v>III 2018</v>
      </c>
      <c r="B16" s="33">
        <f>Zbiorcza!AG87</f>
        <v>6972.1450000000004</v>
      </c>
      <c r="C16" s="33">
        <f>Zbiorcza!AH87</f>
        <v>1</v>
      </c>
      <c r="D16" s="33">
        <f>Zbiorcza!AI87</f>
        <v>0</v>
      </c>
      <c r="E16" s="33">
        <f>Zbiorcza!AJ87</f>
        <v>0</v>
      </c>
      <c r="F16" s="33">
        <f>Zbiorcza!AK87</f>
        <v>102.71422864210793</v>
      </c>
      <c r="G16" s="33">
        <f>Zbiorcza!AL87</f>
        <v>1.8999999999999997</v>
      </c>
      <c r="H16" s="33">
        <f>Zbiorcza!AM87</f>
        <v>4962.2</v>
      </c>
    </row>
    <row r="17" spans="1:8" x14ac:dyDescent="0.25">
      <c r="A17" s="33" t="str">
        <f>Zbiorcza!AF88</f>
        <v>IV 2018</v>
      </c>
      <c r="B17" s="33">
        <f>Zbiorcza!AG88</f>
        <v>6984.1</v>
      </c>
      <c r="C17" s="33">
        <f>Zbiorcza!AH88</f>
        <v>1</v>
      </c>
      <c r="D17" s="33">
        <f>Zbiorcza!AI88</f>
        <v>0</v>
      </c>
      <c r="E17" s="33">
        <f>Zbiorcza!AJ88</f>
        <v>0</v>
      </c>
      <c r="F17" s="33">
        <f>Zbiorcza!AK88</f>
        <v>102.91965709939214</v>
      </c>
      <c r="G17" s="33">
        <f>Zbiorcza!AL88</f>
        <v>1.8333333333333333</v>
      </c>
      <c r="H17" s="33">
        <f>Zbiorcza!AM88</f>
        <v>5245.92</v>
      </c>
    </row>
    <row r="18" spans="1:8" x14ac:dyDescent="0.25">
      <c r="A18" s="33" t="str">
        <f>Zbiorcza!AF89</f>
        <v>I 2015</v>
      </c>
      <c r="B18" s="33">
        <f>Zbiorcza!AG89</f>
        <v>5529.18</v>
      </c>
      <c r="C18" s="33">
        <f>Zbiorcza!AH89</f>
        <v>0</v>
      </c>
      <c r="D18" s="33">
        <f>Zbiorcza!AI89</f>
        <v>1</v>
      </c>
      <c r="E18" s="33">
        <f>Zbiorcza!AJ89</f>
        <v>0</v>
      </c>
      <c r="F18" s="33">
        <f>Zbiorcza!AK89</f>
        <v>100</v>
      </c>
      <c r="G18" s="33">
        <f>Zbiorcza!AL89</f>
        <v>4.1333333333333337</v>
      </c>
      <c r="H18" s="33">
        <f>Zbiorcza!AM89</f>
        <v>4290.7299999999996</v>
      </c>
    </row>
    <row r="19" spans="1:8" x14ac:dyDescent="0.25">
      <c r="A19" s="33" t="str">
        <f>Zbiorcza!AF90</f>
        <v>II 2015</v>
      </c>
      <c r="B19" s="33">
        <f>Zbiorcza!AG90</f>
        <v>5604.4400000000005</v>
      </c>
      <c r="C19" s="33">
        <f>Zbiorcza!AH90</f>
        <v>0</v>
      </c>
      <c r="D19" s="33">
        <f>Zbiorcza!AI90</f>
        <v>1</v>
      </c>
      <c r="E19" s="33">
        <f>Zbiorcza!AJ90</f>
        <v>0</v>
      </c>
      <c r="F19" s="33">
        <f>Zbiorcza!AK90</f>
        <v>100.49999999999999</v>
      </c>
      <c r="G19" s="33">
        <f>Zbiorcza!AL90</f>
        <v>3.9</v>
      </c>
      <c r="H19" s="33">
        <f>Zbiorcza!AM90</f>
        <v>4230.3599999999997</v>
      </c>
    </row>
    <row r="20" spans="1:8" x14ac:dyDescent="0.25">
      <c r="A20" s="33" t="str">
        <f>Zbiorcza!AF91</f>
        <v>III 2015</v>
      </c>
      <c r="B20" s="33">
        <f>Zbiorcza!AG91</f>
        <v>5358.9049999999997</v>
      </c>
      <c r="C20" s="33">
        <f>Zbiorcza!AH91</f>
        <v>0</v>
      </c>
      <c r="D20" s="33">
        <f>Zbiorcza!AI91</f>
        <v>1</v>
      </c>
      <c r="E20" s="33">
        <f>Zbiorcza!AJ91</f>
        <v>0</v>
      </c>
      <c r="F20" s="33">
        <f>Zbiorcza!AK91</f>
        <v>100.19849999999998</v>
      </c>
      <c r="G20" s="33">
        <f>Zbiorcza!AL91</f>
        <v>3.6333333333333333</v>
      </c>
      <c r="H20" s="33">
        <f>Zbiorcza!AM91</f>
        <v>4192.01</v>
      </c>
    </row>
    <row r="21" spans="1:8" x14ac:dyDescent="0.25">
      <c r="A21" s="33" t="str">
        <f>Zbiorcza!AF92</f>
        <v>IV 2015</v>
      </c>
      <c r="B21" s="33">
        <f>Zbiorcza!AG92</f>
        <v>5353.34</v>
      </c>
      <c r="C21" s="33">
        <f>Zbiorcza!AH92</f>
        <v>0</v>
      </c>
      <c r="D21" s="33">
        <f>Zbiorcza!AI92</f>
        <v>1</v>
      </c>
      <c r="E21" s="33">
        <f>Zbiorcza!AJ92</f>
        <v>0</v>
      </c>
      <c r="F21" s="33">
        <f>Zbiorcza!AK92</f>
        <v>99.797705999999977</v>
      </c>
      <c r="G21" s="33">
        <f>Zbiorcza!AL92</f>
        <v>3.4</v>
      </c>
      <c r="H21" s="33">
        <f>Zbiorcza!AM92</f>
        <v>4417.13</v>
      </c>
    </row>
    <row r="22" spans="1:8" x14ac:dyDescent="0.25">
      <c r="A22" s="33" t="str">
        <f>Zbiorcza!AF93</f>
        <v>I 2016</v>
      </c>
      <c r="B22" s="33">
        <f>Zbiorcza!AG93</f>
        <v>5477.6450000000004</v>
      </c>
      <c r="C22" s="33">
        <f>Zbiorcza!AH93</f>
        <v>0</v>
      </c>
      <c r="D22" s="33">
        <f>Zbiorcza!AI93</f>
        <v>1</v>
      </c>
      <c r="E22" s="33">
        <f>Zbiorcza!AJ93</f>
        <v>0</v>
      </c>
      <c r="F22" s="33">
        <f>Zbiorcza!AK93</f>
        <v>99.099122057999978</v>
      </c>
      <c r="G22" s="33">
        <f>Zbiorcza!AL93</f>
        <v>3.4333333333333336</v>
      </c>
      <c r="H22" s="33">
        <f>Zbiorcza!AM93</f>
        <v>4443.83</v>
      </c>
    </row>
    <row r="23" spans="1:8" x14ac:dyDescent="0.25">
      <c r="A23" s="33" t="str">
        <f>Zbiorcza!AF94</f>
        <v>II 2016</v>
      </c>
      <c r="B23" s="33">
        <f>Zbiorcza!AG94</f>
        <v>5540.8150000000005</v>
      </c>
      <c r="C23" s="33">
        <f>Zbiorcza!AH94</f>
        <v>0</v>
      </c>
      <c r="D23" s="33">
        <f>Zbiorcza!AI94</f>
        <v>1</v>
      </c>
      <c r="E23" s="33">
        <f>Zbiorcza!AJ94</f>
        <v>0</v>
      </c>
      <c r="F23" s="33">
        <f>Zbiorcza!AK94</f>
        <v>99.59461766828997</v>
      </c>
      <c r="G23" s="33">
        <f>Zbiorcza!AL94</f>
        <v>3.1999999999999997</v>
      </c>
      <c r="H23" s="33">
        <f>Zbiorcza!AM94</f>
        <v>4286.4399999999996</v>
      </c>
    </row>
    <row r="24" spans="1:8" x14ac:dyDescent="0.25">
      <c r="A24" s="33" t="str">
        <f>Zbiorcza!AF95</f>
        <v>III 2016</v>
      </c>
      <c r="B24" s="33">
        <f>Zbiorcza!AG95</f>
        <v>5661.2250000000004</v>
      </c>
      <c r="C24" s="33">
        <f>Zbiorcza!AH95</f>
        <v>0</v>
      </c>
      <c r="D24" s="33">
        <f>Zbiorcza!AI95</f>
        <v>1</v>
      </c>
      <c r="E24" s="33">
        <f>Zbiorcza!AJ95</f>
        <v>0</v>
      </c>
      <c r="F24" s="33">
        <f>Zbiorcza!AK95</f>
        <v>99.295833815285107</v>
      </c>
      <c r="G24" s="33">
        <f>Zbiorcza!AL95</f>
        <v>3.0666666666666664</v>
      </c>
      <c r="H24" s="33">
        <f>Zbiorcza!AM95</f>
        <v>4474.43</v>
      </c>
    </row>
    <row r="25" spans="1:8" x14ac:dyDescent="0.25">
      <c r="A25" s="33" t="str">
        <f>Zbiorcza!AF96</f>
        <v>IV 2016</v>
      </c>
      <c r="B25" s="33">
        <f>Zbiorcza!AG96</f>
        <v>5669.8099999999995</v>
      </c>
      <c r="C25" s="33">
        <f>Zbiorcza!AH96</f>
        <v>0</v>
      </c>
      <c r="D25" s="33">
        <f>Zbiorcza!AI96</f>
        <v>1</v>
      </c>
      <c r="E25" s="33">
        <f>Zbiorcza!AJ96</f>
        <v>0</v>
      </c>
      <c r="F25" s="33">
        <f>Zbiorcza!AK96</f>
        <v>99.792312984361516</v>
      </c>
      <c r="G25" s="33">
        <f>Zbiorcza!AL96</f>
        <v>2.7999999999999994</v>
      </c>
      <c r="H25" s="33">
        <f>Zbiorcza!AM96</f>
        <v>4616.2299999999996</v>
      </c>
    </row>
    <row r="26" spans="1:8" x14ac:dyDescent="0.25">
      <c r="A26" s="33" t="str">
        <f>Zbiorcza!AF97</f>
        <v>I 2017</v>
      </c>
      <c r="B26" s="33">
        <f>Zbiorcza!AG97</f>
        <v>5599.2</v>
      </c>
      <c r="C26" s="33">
        <f>Zbiorcza!AH97</f>
        <v>0</v>
      </c>
      <c r="D26" s="33">
        <f>Zbiorcza!AI97</f>
        <v>1</v>
      </c>
      <c r="E26" s="33">
        <f>Zbiorcza!AJ97</f>
        <v>0</v>
      </c>
      <c r="F26" s="33">
        <f>Zbiorcza!AK97</f>
        <v>101.0896130531582</v>
      </c>
      <c r="G26" s="33">
        <f>Zbiorcza!AL97</f>
        <v>2.7333333333333329</v>
      </c>
      <c r="H26" s="33">
        <f>Zbiorcza!AM97</f>
        <v>4648.6899999999996</v>
      </c>
    </row>
    <row r="27" spans="1:8" x14ac:dyDescent="0.25">
      <c r="A27" s="33" t="str">
        <f>Zbiorcza!AF98</f>
        <v>II 2017</v>
      </c>
      <c r="B27" s="33">
        <f>Zbiorcza!AG98</f>
        <v>5726.8109999999997</v>
      </c>
      <c r="C27" s="33">
        <f>Zbiorcza!AH98</f>
        <v>0</v>
      </c>
      <c r="D27" s="33">
        <f>Zbiorcza!AI98</f>
        <v>1</v>
      </c>
      <c r="E27" s="33">
        <f>Zbiorcza!AJ98</f>
        <v>0</v>
      </c>
      <c r="F27" s="33">
        <f>Zbiorcza!AK98</f>
        <v>101.29179227926451</v>
      </c>
      <c r="G27" s="33">
        <f>Zbiorcza!AL98</f>
        <v>2.5666666666666669</v>
      </c>
      <c r="H27" s="33">
        <f>Zbiorcza!AM98</f>
        <v>4657.1099999999997</v>
      </c>
    </row>
    <row r="28" spans="1:8" x14ac:dyDescent="0.25">
      <c r="A28" s="33" t="str">
        <f>Zbiorcza!AF99</f>
        <v>III 2017</v>
      </c>
      <c r="B28" s="33">
        <f>Zbiorcza!AG99</f>
        <v>5727.5830000000005</v>
      </c>
      <c r="C28" s="33">
        <f>Zbiorcza!AH99</f>
        <v>0</v>
      </c>
      <c r="D28" s="33">
        <f>Zbiorcza!AI99</f>
        <v>1</v>
      </c>
      <c r="E28" s="33">
        <f>Zbiorcza!AJ99</f>
        <v>0</v>
      </c>
      <c r="F28" s="33">
        <f>Zbiorcza!AK99</f>
        <v>101.08920869470599</v>
      </c>
      <c r="G28" s="33">
        <f>Zbiorcza!AL99</f>
        <v>2.4333333333333336</v>
      </c>
      <c r="H28" s="33">
        <f>Zbiorcza!AM99</f>
        <v>4607.47</v>
      </c>
    </row>
    <row r="29" spans="1:8" x14ac:dyDescent="0.25">
      <c r="A29" s="33" t="str">
        <f>Zbiorcza!AF100</f>
        <v>IV 2017</v>
      </c>
      <c r="B29" s="33">
        <f>Zbiorcza!AG100</f>
        <v>5871.4949999999999</v>
      </c>
      <c r="C29" s="33">
        <f>Zbiorcza!AH100</f>
        <v>0</v>
      </c>
      <c r="D29" s="33">
        <f>Zbiorcza!AI100</f>
        <v>1</v>
      </c>
      <c r="E29" s="33">
        <f>Zbiorcza!AJ100</f>
        <v>0</v>
      </c>
      <c r="F29" s="33">
        <f>Zbiorcza!AK100</f>
        <v>101.99901157295835</v>
      </c>
      <c r="G29" s="33">
        <f>Zbiorcza!AL100</f>
        <v>2.1666666666666665</v>
      </c>
      <c r="H29" s="33">
        <f>Zbiorcza!AM100</f>
        <v>4974.3599999999997</v>
      </c>
    </row>
    <row r="30" spans="1:8" x14ac:dyDescent="0.25">
      <c r="A30" s="33" t="str">
        <f>Zbiorcza!AF101</f>
        <v>I 2018</v>
      </c>
      <c r="B30" s="33">
        <f>Zbiorcza!AG101</f>
        <v>5846.9565000000002</v>
      </c>
      <c r="C30" s="33">
        <f>Zbiorcza!AH101</f>
        <v>0</v>
      </c>
      <c r="D30" s="33">
        <f>Zbiorcza!AI101</f>
        <v>1</v>
      </c>
      <c r="E30" s="33">
        <f>Zbiorcza!AJ101</f>
        <v>0</v>
      </c>
      <c r="F30" s="33">
        <f>Zbiorcza!AK101</f>
        <v>102.30500860767722</v>
      </c>
      <c r="G30" s="33">
        <f>Zbiorcza!AL101</f>
        <v>2.2000000000000002</v>
      </c>
      <c r="H30" s="33">
        <f>Zbiorcza!AM101</f>
        <v>4986.01</v>
      </c>
    </row>
    <row r="31" spans="1:8" x14ac:dyDescent="0.25">
      <c r="A31" s="33" t="str">
        <f>Zbiorcza!AF102</f>
        <v>II 2018</v>
      </c>
      <c r="B31" s="33">
        <f>Zbiorcza!AG102</f>
        <v>5757.0974999999999</v>
      </c>
      <c r="C31" s="33">
        <f>Zbiorcza!AH102</f>
        <v>0</v>
      </c>
      <c r="D31" s="33">
        <f>Zbiorcza!AI102</f>
        <v>1</v>
      </c>
      <c r="E31" s="33">
        <f>Zbiorcza!AJ102</f>
        <v>0</v>
      </c>
      <c r="F31" s="33">
        <f>Zbiorcza!AK102</f>
        <v>102.71422864210793</v>
      </c>
      <c r="G31" s="33">
        <f>Zbiorcza!AL102</f>
        <v>2.0666666666666669</v>
      </c>
      <c r="H31" s="33">
        <f>Zbiorcza!AM102</f>
        <v>4919.18</v>
      </c>
    </row>
    <row r="32" spans="1:8" x14ac:dyDescent="0.25">
      <c r="A32" s="33" t="str">
        <f>Zbiorcza!AF103</f>
        <v>III 2018</v>
      </c>
      <c r="B32" s="33">
        <f>Zbiorcza!AG103</f>
        <v>6253.3595000000005</v>
      </c>
      <c r="C32" s="33">
        <f>Zbiorcza!AH103</f>
        <v>0</v>
      </c>
      <c r="D32" s="33">
        <f>Zbiorcza!AI103</f>
        <v>1</v>
      </c>
      <c r="E32" s="33">
        <f>Zbiorcza!AJ103</f>
        <v>0</v>
      </c>
      <c r="F32" s="33">
        <f>Zbiorcza!AK103</f>
        <v>102.71422864210793</v>
      </c>
      <c r="G32" s="33">
        <f>Zbiorcza!AL103</f>
        <v>1.8999999999999997</v>
      </c>
      <c r="H32" s="33">
        <f>Zbiorcza!AM103</f>
        <v>4962.2</v>
      </c>
    </row>
    <row r="33" spans="1:8" x14ac:dyDescent="0.25">
      <c r="A33" s="33" t="str">
        <f>Zbiorcza!AF104</f>
        <v>IV 2018</v>
      </c>
      <c r="B33" s="33">
        <f>Zbiorcza!AG104</f>
        <v>6497.3249999999998</v>
      </c>
      <c r="C33" s="33">
        <f>Zbiorcza!AH104</f>
        <v>0</v>
      </c>
      <c r="D33" s="33">
        <f>Zbiorcza!AI104</f>
        <v>1</v>
      </c>
      <c r="E33" s="33">
        <f>Zbiorcza!AJ104</f>
        <v>0</v>
      </c>
      <c r="F33" s="33">
        <f>Zbiorcza!AK104</f>
        <v>102.91965709939214</v>
      </c>
      <c r="G33" s="33">
        <f>Zbiorcza!AL104</f>
        <v>1.8333333333333333</v>
      </c>
      <c r="H33" s="33">
        <f>Zbiorcza!AM104</f>
        <v>5245.92</v>
      </c>
    </row>
    <row r="34" spans="1:8" x14ac:dyDescent="0.25">
      <c r="A34" s="33" t="str">
        <f>Zbiorcza!AF105</f>
        <v>I 2015</v>
      </c>
      <c r="B34" s="33">
        <f>Zbiorcza!AG105</f>
        <v>5440.7233333333343</v>
      </c>
      <c r="C34" s="33">
        <f>Zbiorcza!AH105</f>
        <v>0</v>
      </c>
      <c r="D34" s="33">
        <f>Zbiorcza!AI105</f>
        <v>0</v>
      </c>
      <c r="E34" s="33">
        <f>Zbiorcza!AJ105</f>
        <v>1</v>
      </c>
      <c r="F34" s="33">
        <f>Zbiorcza!AK105</f>
        <v>100</v>
      </c>
      <c r="G34" s="33">
        <f>Zbiorcza!AL105</f>
        <v>4.1333333333333337</v>
      </c>
      <c r="H34" s="33">
        <f>Zbiorcza!AM105</f>
        <v>4290.7299999999996</v>
      </c>
    </row>
    <row r="35" spans="1:8" x14ac:dyDescent="0.25">
      <c r="A35" s="33" t="str">
        <f>Zbiorcza!AF106</f>
        <v>II 2015</v>
      </c>
      <c r="B35" s="33">
        <f>Zbiorcza!AG106</f>
        <v>5617.3833333333341</v>
      </c>
      <c r="C35" s="33">
        <f>Zbiorcza!AH106</f>
        <v>0</v>
      </c>
      <c r="D35" s="33">
        <f>Zbiorcza!AI106</f>
        <v>0</v>
      </c>
      <c r="E35" s="33">
        <f>Zbiorcza!AJ106</f>
        <v>1</v>
      </c>
      <c r="F35" s="33">
        <f>Zbiorcza!AK106</f>
        <v>100.49999999999999</v>
      </c>
      <c r="G35" s="33">
        <f>Zbiorcza!AL106</f>
        <v>3.9</v>
      </c>
      <c r="H35" s="33">
        <f>Zbiorcza!AM106</f>
        <v>4230.3599999999997</v>
      </c>
    </row>
    <row r="36" spans="1:8" x14ac:dyDescent="0.25">
      <c r="A36" s="33" t="str">
        <f>Zbiorcza!AF107</f>
        <v>III 2015</v>
      </c>
      <c r="B36" s="33">
        <f>Zbiorcza!AG107</f>
        <v>5696.9033333333327</v>
      </c>
      <c r="C36" s="33">
        <f>Zbiorcza!AH107</f>
        <v>0</v>
      </c>
      <c r="D36" s="33">
        <f>Zbiorcza!AI107</f>
        <v>0</v>
      </c>
      <c r="E36" s="33">
        <f>Zbiorcza!AJ107</f>
        <v>1</v>
      </c>
      <c r="F36" s="33">
        <f>Zbiorcza!AK107</f>
        <v>100.19849999999998</v>
      </c>
      <c r="G36" s="33">
        <f>Zbiorcza!AL107</f>
        <v>3.6333333333333333</v>
      </c>
      <c r="H36" s="33">
        <f>Zbiorcza!AM107</f>
        <v>4192.01</v>
      </c>
    </row>
    <row r="37" spans="1:8" x14ac:dyDescent="0.25">
      <c r="A37" s="33" t="str">
        <f>Zbiorcza!AF108</f>
        <v>IV 2015</v>
      </c>
      <c r="B37" s="33">
        <f>Zbiorcza!AG108</f>
        <v>5594.3233333333337</v>
      </c>
      <c r="C37" s="33">
        <f>Zbiorcza!AH108</f>
        <v>0</v>
      </c>
      <c r="D37" s="33">
        <f>Zbiorcza!AI108</f>
        <v>0</v>
      </c>
      <c r="E37" s="33">
        <f>Zbiorcza!AJ108</f>
        <v>1</v>
      </c>
      <c r="F37" s="33">
        <f>Zbiorcza!AK108</f>
        <v>99.797705999999977</v>
      </c>
      <c r="G37" s="33">
        <f>Zbiorcza!AL108</f>
        <v>3.4</v>
      </c>
      <c r="H37" s="33">
        <f>Zbiorcza!AM108</f>
        <v>4417.13</v>
      </c>
    </row>
    <row r="38" spans="1:8" x14ac:dyDescent="0.25">
      <c r="A38" s="33" t="str">
        <f>Zbiorcza!AF109</f>
        <v>I 2016</v>
      </c>
      <c r="B38" s="33">
        <f>Zbiorcza!AG109</f>
        <v>5500.3166666666666</v>
      </c>
      <c r="C38" s="33">
        <f>Zbiorcza!AH109</f>
        <v>0</v>
      </c>
      <c r="D38" s="33">
        <f>Zbiorcza!AI109</f>
        <v>0</v>
      </c>
      <c r="E38" s="33">
        <f>Zbiorcza!AJ109</f>
        <v>1</v>
      </c>
      <c r="F38" s="33">
        <f>Zbiorcza!AK109</f>
        <v>99.099122057999978</v>
      </c>
      <c r="G38" s="33">
        <f>Zbiorcza!AL109</f>
        <v>3.4333333333333336</v>
      </c>
      <c r="H38" s="33">
        <f>Zbiorcza!AM109</f>
        <v>4443.83</v>
      </c>
    </row>
    <row r="39" spans="1:8" x14ac:dyDescent="0.25">
      <c r="A39" s="33" t="str">
        <f>Zbiorcza!AF110</f>
        <v>II 2016</v>
      </c>
      <c r="B39" s="33">
        <f>Zbiorcza!AG110</f>
        <v>5341.5533333333333</v>
      </c>
      <c r="C39" s="33">
        <f>Zbiorcza!AH110</f>
        <v>0</v>
      </c>
      <c r="D39" s="33">
        <f>Zbiorcza!AI110</f>
        <v>0</v>
      </c>
      <c r="E39" s="33">
        <f>Zbiorcza!AJ110</f>
        <v>1</v>
      </c>
      <c r="F39" s="33">
        <f>Zbiorcza!AK110</f>
        <v>99.59461766828997</v>
      </c>
      <c r="G39" s="33">
        <f>Zbiorcza!AL110</f>
        <v>3.1999999999999997</v>
      </c>
      <c r="H39" s="33">
        <f>Zbiorcza!AM110</f>
        <v>4286.4399999999996</v>
      </c>
    </row>
    <row r="40" spans="1:8" x14ac:dyDescent="0.25">
      <c r="A40" s="33" t="str">
        <f>Zbiorcza!AF111</f>
        <v>III 2016</v>
      </c>
      <c r="B40" s="33">
        <f>Zbiorcza!AG111</f>
        <v>5334.9866666666667</v>
      </c>
      <c r="C40" s="33">
        <f>Zbiorcza!AH111</f>
        <v>0</v>
      </c>
      <c r="D40" s="33">
        <f>Zbiorcza!AI111</f>
        <v>0</v>
      </c>
      <c r="E40" s="33">
        <f>Zbiorcza!AJ111</f>
        <v>1</v>
      </c>
      <c r="F40" s="33">
        <f>Zbiorcza!AK111</f>
        <v>99.295833815285107</v>
      </c>
      <c r="G40" s="33">
        <f>Zbiorcza!AL111</f>
        <v>3.0666666666666664</v>
      </c>
      <c r="H40" s="33">
        <f>Zbiorcza!AM111</f>
        <v>4474.43</v>
      </c>
    </row>
    <row r="41" spans="1:8" x14ac:dyDescent="0.25">
      <c r="A41" s="33" t="str">
        <f>Zbiorcza!AF112</f>
        <v>IV 2016</v>
      </c>
      <c r="B41" s="33">
        <f>Zbiorcza!AG112</f>
        <v>5295.0033333333331</v>
      </c>
      <c r="C41" s="33">
        <f>Zbiorcza!AH112</f>
        <v>0</v>
      </c>
      <c r="D41" s="33">
        <f>Zbiorcza!AI112</f>
        <v>0</v>
      </c>
      <c r="E41" s="33">
        <f>Zbiorcza!AJ112</f>
        <v>1</v>
      </c>
      <c r="F41" s="33">
        <f>Zbiorcza!AK112</f>
        <v>99.792312984361516</v>
      </c>
      <c r="G41" s="33">
        <f>Zbiorcza!AL112</f>
        <v>2.7999999999999994</v>
      </c>
      <c r="H41" s="33">
        <f>Zbiorcza!AM112</f>
        <v>4616.2299999999996</v>
      </c>
    </row>
    <row r="42" spans="1:8" x14ac:dyDescent="0.25">
      <c r="A42" s="33" t="str">
        <f>Zbiorcza!AF113</f>
        <v>I 2017</v>
      </c>
      <c r="B42" s="33">
        <f>Zbiorcza!AG113</f>
        <v>5556.02</v>
      </c>
      <c r="C42" s="33">
        <f>Zbiorcza!AH113</f>
        <v>0</v>
      </c>
      <c r="D42" s="33">
        <f>Zbiorcza!AI113</f>
        <v>0</v>
      </c>
      <c r="E42" s="33">
        <f>Zbiorcza!AJ113</f>
        <v>1</v>
      </c>
      <c r="F42" s="33">
        <f>Zbiorcza!AK113</f>
        <v>101.0896130531582</v>
      </c>
      <c r="G42" s="33">
        <f>Zbiorcza!AL113</f>
        <v>2.7333333333333329</v>
      </c>
      <c r="H42" s="33">
        <f>Zbiorcza!AM113</f>
        <v>4648.6899999999996</v>
      </c>
    </row>
    <row r="43" spans="1:8" x14ac:dyDescent="0.25">
      <c r="A43" s="33" t="str">
        <f>Zbiorcza!AF114</f>
        <v>II 2017</v>
      </c>
      <c r="B43" s="33">
        <f>Zbiorcza!AG114</f>
        <v>5490.0343333333331</v>
      </c>
      <c r="C43" s="33">
        <f>Zbiorcza!AH114</f>
        <v>0</v>
      </c>
      <c r="D43" s="33">
        <f>Zbiorcza!AI114</f>
        <v>0</v>
      </c>
      <c r="E43" s="33">
        <f>Zbiorcza!AJ114</f>
        <v>1</v>
      </c>
      <c r="F43" s="33">
        <f>Zbiorcza!AK114</f>
        <v>101.29179227926451</v>
      </c>
      <c r="G43" s="33">
        <f>Zbiorcza!AL114</f>
        <v>2.5666666666666669</v>
      </c>
      <c r="H43" s="33">
        <f>Zbiorcza!AM114</f>
        <v>4657.1099999999997</v>
      </c>
    </row>
    <row r="44" spans="1:8" x14ac:dyDescent="0.25">
      <c r="A44" s="33" t="str">
        <f>Zbiorcza!AF115</f>
        <v>III 2017</v>
      </c>
      <c r="B44" s="33">
        <f>Zbiorcza!AG115</f>
        <v>5496.5410000000002</v>
      </c>
      <c r="C44" s="33">
        <f>Zbiorcza!AH115</f>
        <v>0</v>
      </c>
      <c r="D44" s="33">
        <f>Zbiorcza!AI115</f>
        <v>0</v>
      </c>
      <c r="E44" s="33">
        <f>Zbiorcza!AJ115</f>
        <v>1</v>
      </c>
      <c r="F44" s="33">
        <f>Zbiorcza!AK115</f>
        <v>101.08920869470599</v>
      </c>
      <c r="G44" s="33">
        <f>Zbiorcza!AL115</f>
        <v>2.4333333333333336</v>
      </c>
      <c r="H44" s="33">
        <f>Zbiorcza!AM115</f>
        <v>4607.47</v>
      </c>
    </row>
    <row r="45" spans="1:8" x14ac:dyDescent="0.25">
      <c r="A45" s="33" t="str">
        <f>Zbiorcza!AF116</f>
        <v>IV 2017</v>
      </c>
      <c r="B45" s="33">
        <f>Zbiorcza!AG116</f>
        <v>5433.8966666666665</v>
      </c>
      <c r="C45" s="33">
        <f>Zbiorcza!AH116</f>
        <v>0</v>
      </c>
      <c r="D45" s="33">
        <f>Zbiorcza!AI116</f>
        <v>0</v>
      </c>
      <c r="E45" s="33">
        <f>Zbiorcza!AJ116</f>
        <v>1</v>
      </c>
      <c r="F45" s="33">
        <f>Zbiorcza!AK116</f>
        <v>101.99901157295835</v>
      </c>
      <c r="G45" s="33">
        <f>Zbiorcza!AL116</f>
        <v>2.1666666666666665</v>
      </c>
      <c r="H45" s="33">
        <f>Zbiorcza!AM116</f>
        <v>4974.3599999999997</v>
      </c>
    </row>
    <row r="46" spans="1:8" x14ac:dyDescent="0.25">
      <c r="A46" s="33" t="str">
        <f>Zbiorcza!AF117</f>
        <v>I 2018</v>
      </c>
      <c r="B46" s="33">
        <f>Zbiorcza!AG117</f>
        <v>5631.2016666666668</v>
      </c>
      <c r="C46" s="33">
        <f>Zbiorcza!AH117</f>
        <v>0</v>
      </c>
      <c r="D46" s="33">
        <f>Zbiorcza!AI117</f>
        <v>0</v>
      </c>
      <c r="E46" s="33">
        <f>Zbiorcza!AJ117</f>
        <v>1</v>
      </c>
      <c r="F46" s="33">
        <f>Zbiorcza!AK117</f>
        <v>102.30500860767722</v>
      </c>
      <c r="G46" s="33">
        <f>Zbiorcza!AL117</f>
        <v>2.2000000000000002</v>
      </c>
      <c r="H46" s="33">
        <f>Zbiorcza!AM117</f>
        <v>4986.01</v>
      </c>
    </row>
    <row r="47" spans="1:8" x14ac:dyDescent="0.25">
      <c r="A47" s="33" t="str">
        <f>Zbiorcza!AF118</f>
        <v>II 2018</v>
      </c>
      <c r="B47" s="33">
        <f>Zbiorcza!AG118</f>
        <v>5675.4643333333333</v>
      </c>
      <c r="C47" s="33">
        <f>Zbiorcza!AH118</f>
        <v>0</v>
      </c>
      <c r="D47" s="33">
        <f>Zbiorcza!AI118</f>
        <v>0</v>
      </c>
      <c r="E47" s="33">
        <f>Zbiorcza!AJ118</f>
        <v>1</v>
      </c>
      <c r="F47" s="33">
        <f>Zbiorcza!AK118</f>
        <v>102.71422864210793</v>
      </c>
      <c r="G47" s="33">
        <f>Zbiorcza!AL118</f>
        <v>2.0666666666666669</v>
      </c>
      <c r="H47" s="33">
        <f>Zbiorcza!AM118</f>
        <v>4919.18</v>
      </c>
    </row>
    <row r="48" spans="1:8" x14ac:dyDescent="0.25">
      <c r="A48" s="33" t="str">
        <f>Zbiorcza!AF119</f>
        <v>III 2018</v>
      </c>
      <c r="B48" s="33">
        <f>Zbiorcza!AG119</f>
        <v>5809.1043333333337</v>
      </c>
      <c r="C48" s="33">
        <f>Zbiorcza!AH119</f>
        <v>0</v>
      </c>
      <c r="D48" s="33">
        <f>Zbiorcza!AI119</f>
        <v>0</v>
      </c>
      <c r="E48" s="33">
        <f>Zbiorcza!AJ119</f>
        <v>1</v>
      </c>
      <c r="F48" s="33">
        <f>Zbiorcza!AK119</f>
        <v>102.71422864210793</v>
      </c>
      <c r="G48" s="33">
        <f>Zbiorcza!AL119</f>
        <v>1.8999999999999997</v>
      </c>
      <c r="H48" s="33">
        <f>Zbiorcza!AM119</f>
        <v>4962.2</v>
      </c>
    </row>
    <row r="49" spans="1:8" x14ac:dyDescent="0.25">
      <c r="A49" s="33" t="str">
        <f>Zbiorcza!AF120</f>
        <v>IV 2018</v>
      </c>
      <c r="B49" s="33">
        <f>Zbiorcza!AG120</f>
        <v>5861.37</v>
      </c>
      <c r="C49" s="33">
        <f>Zbiorcza!AH120</f>
        <v>0</v>
      </c>
      <c r="D49" s="33">
        <f>Zbiorcza!AI120</f>
        <v>0</v>
      </c>
      <c r="E49" s="33">
        <f>Zbiorcza!AJ120</f>
        <v>1</v>
      </c>
      <c r="F49" s="33">
        <f>Zbiorcza!AK120</f>
        <v>102.91965709939214</v>
      </c>
      <c r="G49" s="33">
        <f>Zbiorcza!AL120</f>
        <v>1.8333333333333333</v>
      </c>
      <c r="H49" s="33">
        <f>Zbiorcza!AM120</f>
        <v>5245.92</v>
      </c>
    </row>
    <row r="50" spans="1:8" x14ac:dyDescent="0.25">
      <c r="A50" s="33" t="str">
        <f>Zbiorcza!AF121</f>
        <v>I 2015</v>
      </c>
      <c r="B50" s="33">
        <f>Zbiorcza!AG121</f>
        <v>5817.58</v>
      </c>
      <c r="C50" s="33">
        <f>Zbiorcza!AH121</f>
        <v>-1</v>
      </c>
      <c r="D50" s="33">
        <f>Zbiorcza!AI121</f>
        <v>-1</v>
      </c>
      <c r="E50" s="33">
        <f>Zbiorcza!AJ121</f>
        <v>-1</v>
      </c>
      <c r="F50" s="33">
        <f>Zbiorcza!AK121</f>
        <v>100</v>
      </c>
      <c r="G50" s="33">
        <f>Zbiorcza!AL121</f>
        <v>4.1333333333333337</v>
      </c>
      <c r="H50" s="33">
        <f>Zbiorcza!AM121</f>
        <v>4290.7299999999996</v>
      </c>
    </row>
    <row r="51" spans="1:8" x14ac:dyDescent="0.25">
      <c r="A51" s="33" t="str">
        <f>Zbiorcza!AF122</f>
        <v>II 2015</v>
      </c>
      <c r="B51" s="33">
        <f>Zbiorcza!AG122</f>
        <v>5859.6849999999995</v>
      </c>
      <c r="C51" s="33">
        <f>Zbiorcza!AH122</f>
        <v>-1</v>
      </c>
      <c r="D51" s="33">
        <f>Zbiorcza!AI122</f>
        <v>-1</v>
      </c>
      <c r="E51" s="33">
        <f>Zbiorcza!AJ122</f>
        <v>-1</v>
      </c>
      <c r="F51" s="33">
        <f>Zbiorcza!AK122</f>
        <v>100.49999999999999</v>
      </c>
      <c r="G51" s="33">
        <f>Zbiorcza!AL122</f>
        <v>3.9</v>
      </c>
      <c r="H51" s="33">
        <f>Zbiorcza!AM122</f>
        <v>4230.3599999999997</v>
      </c>
    </row>
    <row r="52" spans="1:8" x14ac:dyDescent="0.25">
      <c r="A52" s="33" t="str">
        <f>Zbiorcza!AF123</f>
        <v>III 2015</v>
      </c>
      <c r="B52" s="33">
        <f>Zbiorcza!AG123</f>
        <v>5884.9449999999997</v>
      </c>
      <c r="C52" s="33">
        <f>Zbiorcza!AH123</f>
        <v>-1</v>
      </c>
      <c r="D52" s="33">
        <f>Zbiorcza!AI123</f>
        <v>-1</v>
      </c>
      <c r="E52" s="33">
        <f>Zbiorcza!AJ123</f>
        <v>-1</v>
      </c>
      <c r="F52" s="33">
        <f>Zbiorcza!AK123</f>
        <v>100.19849999999998</v>
      </c>
      <c r="G52" s="33">
        <f>Zbiorcza!AL123</f>
        <v>3.6333333333333333</v>
      </c>
      <c r="H52" s="33">
        <f>Zbiorcza!AM123</f>
        <v>4192.01</v>
      </c>
    </row>
    <row r="53" spans="1:8" x14ac:dyDescent="0.25">
      <c r="A53" s="33" t="str">
        <f>Zbiorcza!AF124</f>
        <v>IV 2015</v>
      </c>
      <c r="B53" s="33">
        <f>Zbiorcza!AG124</f>
        <v>5774.89</v>
      </c>
      <c r="C53" s="33">
        <f>Zbiorcza!AH124</f>
        <v>-1</v>
      </c>
      <c r="D53" s="33">
        <f>Zbiorcza!AI124</f>
        <v>-1</v>
      </c>
      <c r="E53" s="33">
        <f>Zbiorcza!AJ124</f>
        <v>-1</v>
      </c>
      <c r="F53" s="33">
        <f>Zbiorcza!AK124</f>
        <v>99.797705999999977</v>
      </c>
      <c r="G53" s="33">
        <f>Zbiorcza!AL124</f>
        <v>3.4</v>
      </c>
      <c r="H53" s="33">
        <f>Zbiorcza!AM124</f>
        <v>4417.13</v>
      </c>
    </row>
    <row r="54" spans="1:8" x14ac:dyDescent="0.25">
      <c r="A54" s="33" t="str">
        <f>Zbiorcza!AF125</f>
        <v>I 2016</v>
      </c>
      <c r="B54" s="33">
        <f>Zbiorcza!AG125</f>
        <v>5647.085</v>
      </c>
      <c r="C54" s="33">
        <f>Zbiorcza!AH125</f>
        <v>-1</v>
      </c>
      <c r="D54" s="33">
        <f>Zbiorcza!AI125</f>
        <v>-1</v>
      </c>
      <c r="E54" s="33">
        <f>Zbiorcza!AJ125</f>
        <v>-1</v>
      </c>
      <c r="F54" s="33">
        <f>Zbiorcza!AK125</f>
        <v>99.099122057999978</v>
      </c>
      <c r="G54" s="33">
        <f>Zbiorcza!AL125</f>
        <v>3.4333333333333336</v>
      </c>
      <c r="H54" s="33">
        <f>Zbiorcza!AM125</f>
        <v>4443.83</v>
      </c>
    </row>
    <row r="55" spans="1:8" x14ac:dyDescent="0.25">
      <c r="A55" s="33" t="str">
        <f>Zbiorcza!AF126</f>
        <v>II 2016</v>
      </c>
      <c r="B55" s="33">
        <f>Zbiorcza!AG126</f>
        <v>5562.55</v>
      </c>
      <c r="C55" s="33">
        <f>Zbiorcza!AH126</f>
        <v>-1</v>
      </c>
      <c r="D55" s="33">
        <f>Zbiorcza!AI126</f>
        <v>-1</v>
      </c>
      <c r="E55" s="33">
        <f>Zbiorcza!AJ126</f>
        <v>-1</v>
      </c>
      <c r="F55" s="33">
        <f>Zbiorcza!AK126</f>
        <v>99.59461766828997</v>
      </c>
      <c r="G55" s="33">
        <f>Zbiorcza!AL126</f>
        <v>3.1999999999999997</v>
      </c>
      <c r="H55" s="33">
        <f>Zbiorcza!AM126</f>
        <v>4286.4399999999996</v>
      </c>
    </row>
    <row r="56" spans="1:8" x14ac:dyDescent="0.25">
      <c r="A56" s="33" t="str">
        <f>Zbiorcza!AF127</f>
        <v>III 2016</v>
      </c>
      <c r="B56" s="33">
        <f>Zbiorcza!AG127</f>
        <v>5497.8150000000005</v>
      </c>
      <c r="C56" s="33">
        <f>Zbiorcza!AH127</f>
        <v>-1</v>
      </c>
      <c r="D56" s="33">
        <f>Zbiorcza!AI127</f>
        <v>-1</v>
      </c>
      <c r="E56" s="33">
        <f>Zbiorcza!AJ127</f>
        <v>-1</v>
      </c>
      <c r="F56" s="33">
        <f>Zbiorcza!AK127</f>
        <v>99.295833815285107</v>
      </c>
      <c r="G56" s="33">
        <f>Zbiorcza!AL127</f>
        <v>3.0666666666666664</v>
      </c>
      <c r="H56" s="33">
        <f>Zbiorcza!AM127</f>
        <v>4474.43</v>
      </c>
    </row>
    <row r="57" spans="1:8" x14ac:dyDescent="0.25">
      <c r="A57" s="33" t="str">
        <f>Zbiorcza!AF128</f>
        <v>IV 2016</v>
      </c>
      <c r="B57" s="33">
        <f>Zbiorcza!AG128</f>
        <v>5635.3149999999996</v>
      </c>
      <c r="C57" s="33">
        <f>Zbiorcza!AH128</f>
        <v>-1</v>
      </c>
      <c r="D57" s="33">
        <f>Zbiorcza!AI128</f>
        <v>-1</v>
      </c>
      <c r="E57" s="33">
        <f>Zbiorcza!AJ128</f>
        <v>-1</v>
      </c>
      <c r="F57" s="33">
        <f>Zbiorcza!AK128</f>
        <v>99.792312984361516</v>
      </c>
      <c r="G57" s="33">
        <f>Zbiorcza!AL128</f>
        <v>2.7999999999999994</v>
      </c>
      <c r="H57" s="33">
        <f>Zbiorcza!AM128</f>
        <v>4616.2299999999996</v>
      </c>
    </row>
    <row r="58" spans="1:8" x14ac:dyDescent="0.25">
      <c r="A58" s="33" t="str">
        <f>Zbiorcza!AF129</f>
        <v>I 2017</v>
      </c>
      <c r="B58" s="33">
        <f>Zbiorcza!AG129</f>
        <v>5581.0150000000003</v>
      </c>
      <c r="C58" s="33">
        <f>Zbiorcza!AH129</f>
        <v>-1</v>
      </c>
      <c r="D58" s="33">
        <f>Zbiorcza!AI129</f>
        <v>-1</v>
      </c>
      <c r="E58" s="33">
        <f>Zbiorcza!AJ129</f>
        <v>-1</v>
      </c>
      <c r="F58" s="33">
        <f>Zbiorcza!AK129</f>
        <v>101.0896130531582</v>
      </c>
      <c r="G58" s="33">
        <f>Zbiorcza!AL129</f>
        <v>2.7333333333333329</v>
      </c>
      <c r="H58" s="33">
        <f>Zbiorcza!AM129</f>
        <v>4648.6899999999996</v>
      </c>
    </row>
    <row r="59" spans="1:8" x14ac:dyDescent="0.25">
      <c r="A59" s="33" t="str">
        <f>Zbiorcza!AF130</f>
        <v>II 2017</v>
      </c>
      <c r="B59" s="33">
        <f>Zbiorcza!AG130</f>
        <v>5646.3795</v>
      </c>
      <c r="C59" s="33">
        <f>Zbiorcza!AH130</f>
        <v>-1</v>
      </c>
      <c r="D59" s="33">
        <f>Zbiorcza!AI130</f>
        <v>-1</v>
      </c>
      <c r="E59" s="33">
        <f>Zbiorcza!AJ130</f>
        <v>-1</v>
      </c>
      <c r="F59" s="33">
        <f>Zbiorcza!AK130</f>
        <v>101.29179227926451</v>
      </c>
      <c r="G59" s="33">
        <f>Zbiorcza!AL130</f>
        <v>2.5666666666666669</v>
      </c>
      <c r="H59" s="33">
        <f>Zbiorcza!AM130</f>
        <v>4657.1099999999997</v>
      </c>
    </row>
    <row r="60" spans="1:8" x14ac:dyDescent="0.25">
      <c r="A60" s="33" t="str">
        <f>Zbiorcza!AF131</f>
        <v>III 2017</v>
      </c>
      <c r="B60" s="33">
        <f>Zbiorcza!AG131</f>
        <v>5734.7025000000003</v>
      </c>
      <c r="C60" s="33">
        <f>Zbiorcza!AH131</f>
        <v>-1</v>
      </c>
      <c r="D60" s="33">
        <f>Zbiorcza!AI131</f>
        <v>-1</v>
      </c>
      <c r="E60" s="33">
        <f>Zbiorcza!AJ131</f>
        <v>-1</v>
      </c>
      <c r="F60" s="33">
        <f>Zbiorcza!AK131</f>
        <v>101.08920869470599</v>
      </c>
      <c r="G60" s="33">
        <f>Zbiorcza!AL131</f>
        <v>2.4333333333333336</v>
      </c>
      <c r="H60" s="33">
        <f>Zbiorcza!AM131</f>
        <v>4607.47</v>
      </c>
    </row>
    <row r="61" spans="1:8" x14ac:dyDescent="0.25">
      <c r="A61" s="33" t="str">
        <f>Zbiorcza!AF132</f>
        <v>IV 2017</v>
      </c>
      <c r="B61" s="33">
        <f>Zbiorcza!AG132</f>
        <v>5591.6200000000008</v>
      </c>
      <c r="C61" s="33">
        <f>Zbiorcza!AH132</f>
        <v>-1</v>
      </c>
      <c r="D61" s="33">
        <f>Zbiorcza!AI132</f>
        <v>-1</v>
      </c>
      <c r="E61" s="33">
        <f>Zbiorcza!AJ132</f>
        <v>-1</v>
      </c>
      <c r="F61" s="33">
        <f>Zbiorcza!AK132</f>
        <v>101.99901157295835</v>
      </c>
      <c r="G61" s="33">
        <f>Zbiorcza!AL132</f>
        <v>2.1666666666666665</v>
      </c>
      <c r="H61" s="33">
        <f>Zbiorcza!AM132</f>
        <v>4974.3599999999997</v>
      </c>
    </row>
    <row r="62" spans="1:8" x14ac:dyDescent="0.25">
      <c r="A62" s="33" t="str">
        <f>Zbiorcza!AF133</f>
        <v>I 2018</v>
      </c>
      <c r="B62" s="33">
        <f>Zbiorcza!AG133</f>
        <v>5696.3515000000007</v>
      </c>
      <c r="C62" s="33">
        <f>Zbiorcza!AH133</f>
        <v>-1</v>
      </c>
      <c r="D62" s="33">
        <f>Zbiorcza!AI133</f>
        <v>-1</v>
      </c>
      <c r="E62" s="33">
        <f>Zbiorcza!AJ133</f>
        <v>-1</v>
      </c>
      <c r="F62" s="33">
        <f>Zbiorcza!AK133</f>
        <v>102.30500860767722</v>
      </c>
      <c r="G62" s="33">
        <f>Zbiorcza!AL133</f>
        <v>2.2000000000000002</v>
      </c>
      <c r="H62" s="33">
        <f>Zbiorcza!AM133</f>
        <v>4986.01</v>
      </c>
    </row>
    <row r="63" spans="1:8" x14ac:dyDescent="0.25">
      <c r="A63" s="33" t="str">
        <f>Zbiorcza!AF134</f>
        <v>II 2018</v>
      </c>
      <c r="B63" s="33">
        <f>Zbiorcza!AG134</f>
        <v>5798.6934999999994</v>
      </c>
      <c r="C63" s="33">
        <f>Zbiorcza!AH134</f>
        <v>-1</v>
      </c>
      <c r="D63" s="33">
        <f>Zbiorcza!AI134</f>
        <v>-1</v>
      </c>
      <c r="E63" s="33">
        <f>Zbiorcza!AJ134</f>
        <v>-1</v>
      </c>
      <c r="F63" s="33">
        <f>Zbiorcza!AK134</f>
        <v>102.71422864210793</v>
      </c>
      <c r="G63" s="33">
        <f>Zbiorcza!AL134</f>
        <v>2.0666666666666669</v>
      </c>
      <c r="H63" s="33">
        <f>Zbiorcza!AM134</f>
        <v>4919.18</v>
      </c>
    </row>
    <row r="64" spans="1:8" x14ac:dyDescent="0.25">
      <c r="A64" s="33" t="str">
        <f>Zbiorcza!AF135</f>
        <v>III 2018</v>
      </c>
      <c r="B64" s="33">
        <f>Zbiorcza!AG135</f>
        <v>5369.6105000000007</v>
      </c>
      <c r="C64" s="33">
        <f>Zbiorcza!AH135</f>
        <v>-1</v>
      </c>
      <c r="D64" s="33">
        <f>Zbiorcza!AI135</f>
        <v>-1</v>
      </c>
      <c r="E64" s="33">
        <f>Zbiorcza!AJ135</f>
        <v>-1</v>
      </c>
      <c r="F64" s="33">
        <f>Zbiorcza!AK135</f>
        <v>102.71422864210793</v>
      </c>
      <c r="G64" s="33">
        <f>Zbiorcza!AL135</f>
        <v>1.8999999999999997</v>
      </c>
      <c r="H64" s="33">
        <f>Zbiorcza!AM135</f>
        <v>4962.2</v>
      </c>
    </row>
    <row r="65" spans="1:8" x14ac:dyDescent="0.25">
      <c r="A65" s="33" t="str">
        <f>Zbiorcza!AF136</f>
        <v>IV 2018</v>
      </c>
      <c r="B65" s="33">
        <f>Zbiorcza!AG136</f>
        <v>5774.6350000000002</v>
      </c>
      <c r="C65" s="33">
        <f>Zbiorcza!AH136</f>
        <v>-1</v>
      </c>
      <c r="D65" s="33">
        <f>Zbiorcza!AI136</f>
        <v>-1</v>
      </c>
      <c r="E65" s="33">
        <f>Zbiorcza!AJ136</f>
        <v>-1</v>
      </c>
      <c r="F65" s="33">
        <f>Zbiorcza!AK136</f>
        <v>102.91965709939214</v>
      </c>
      <c r="G65" s="33">
        <f>Zbiorcza!AL136</f>
        <v>1.8333333333333333</v>
      </c>
      <c r="H65" s="33">
        <f>Zbiorcza!AM136</f>
        <v>5245.92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Q40" sqref="Q40"/>
    </sheetView>
  </sheetViews>
  <sheetFormatPr defaultRowHeight="15" x14ac:dyDescent="0.25"/>
  <sheetData>
    <row r="1" spans="1:9" x14ac:dyDescent="0.25">
      <c r="A1" t="str">
        <f>Zbiorcza!AP72</f>
        <v>Kw</v>
      </c>
      <c r="B1" t="str">
        <f>Zbiorcza!AQ72</f>
        <v>Cena</v>
      </c>
      <c r="C1" t="str">
        <f>Zbiorcza!AR72</f>
        <v>M_do35</v>
      </c>
      <c r="D1" t="str">
        <f>Zbiorcza!AS72</f>
        <v>M_35-50</v>
      </c>
      <c r="E1" t="str">
        <f>Zbiorcza!AT72</f>
        <v>M_50-80</v>
      </c>
      <c r="F1" t="str">
        <f>Zbiorcza!AU72</f>
        <v>Wsk_cen</v>
      </c>
      <c r="G1" t="str">
        <f>Zbiorcza!AV72</f>
        <v>Bezr</v>
      </c>
      <c r="H1" t="str">
        <f>Zbiorcza!AW72</f>
        <v>W</v>
      </c>
      <c r="I1" t="str">
        <f>Zbiorcza!AX72</f>
        <v>cena-1</v>
      </c>
    </row>
    <row r="2" spans="1:9" x14ac:dyDescent="0.25">
      <c r="A2" t="str">
        <f>Zbiorcza!AP73</f>
        <v>II 2015</v>
      </c>
      <c r="B2">
        <f>Zbiorcza!AQ73</f>
        <v>5991.98</v>
      </c>
      <c r="C2">
        <f>Zbiorcza!AR73</f>
        <v>1</v>
      </c>
      <c r="D2">
        <f>Zbiorcza!AS73</f>
        <v>0</v>
      </c>
      <c r="E2">
        <f>Zbiorcza!AT73</f>
        <v>0</v>
      </c>
      <c r="F2">
        <f>Zbiorcza!AU73</f>
        <v>100.49999999999999</v>
      </c>
      <c r="G2">
        <f>Zbiorcza!AV73</f>
        <v>3.9</v>
      </c>
      <c r="H2">
        <f>Zbiorcza!AW73</f>
        <v>4230.3599999999997</v>
      </c>
      <c r="I2">
        <f>Zbiorcza!AX73</f>
        <v>6455.71</v>
      </c>
    </row>
    <row r="3" spans="1:9" x14ac:dyDescent="0.25">
      <c r="A3" t="str">
        <f>Zbiorcza!AP74</f>
        <v>III 2015</v>
      </c>
      <c r="B3">
        <f>Zbiorcza!AQ74</f>
        <v>5760.3</v>
      </c>
      <c r="C3">
        <f>Zbiorcza!AR74</f>
        <v>1</v>
      </c>
      <c r="D3">
        <f>Zbiorcza!AS74</f>
        <v>0</v>
      </c>
      <c r="E3">
        <f>Zbiorcza!AT74</f>
        <v>0</v>
      </c>
      <c r="F3">
        <f>Zbiorcza!AU74</f>
        <v>100.19849999999998</v>
      </c>
      <c r="G3">
        <f>Zbiorcza!AV74</f>
        <v>3.6333333333333333</v>
      </c>
      <c r="H3">
        <f>Zbiorcza!AW74</f>
        <v>4192.01</v>
      </c>
      <c r="I3">
        <f>Zbiorcza!AX74</f>
        <v>5991.98</v>
      </c>
    </row>
    <row r="4" spans="1:9" x14ac:dyDescent="0.25">
      <c r="A4" t="str">
        <f>Zbiorcza!AP75</f>
        <v>IV 2015</v>
      </c>
      <c r="B4">
        <f>Zbiorcza!AQ75</f>
        <v>5686.69</v>
      </c>
      <c r="C4">
        <f>Zbiorcza!AR75</f>
        <v>1</v>
      </c>
      <c r="D4">
        <f>Zbiorcza!AS75</f>
        <v>0</v>
      </c>
      <c r="E4">
        <f>Zbiorcza!AT75</f>
        <v>0</v>
      </c>
      <c r="F4">
        <f>Zbiorcza!AU75</f>
        <v>99.797705999999977</v>
      </c>
      <c r="G4">
        <f>Zbiorcza!AV75</f>
        <v>3.4</v>
      </c>
      <c r="H4">
        <f>Zbiorcza!AW75</f>
        <v>4417.13</v>
      </c>
      <c r="I4">
        <f>Zbiorcza!AX75</f>
        <v>5760.3</v>
      </c>
    </row>
    <row r="5" spans="1:9" x14ac:dyDescent="0.25">
      <c r="A5" t="str">
        <f>Zbiorcza!AP76</f>
        <v>I 2016</v>
      </c>
      <c r="B5">
        <f>Zbiorcza!AQ76</f>
        <v>5845.09</v>
      </c>
      <c r="C5">
        <f>Zbiorcza!AR76</f>
        <v>1</v>
      </c>
      <c r="D5">
        <f>Zbiorcza!AS76</f>
        <v>0</v>
      </c>
      <c r="E5">
        <f>Zbiorcza!AT76</f>
        <v>0</v>
      </c>
      <c r="F5">
        <f>Zbiorcza!AU76</f>
        <v>99.099122057999978</v>
      </c>
      <c r="G5">
        <f>Zbiorcza!AV76</f>
        <v>3.4333333333333336</v>
      </c>
      <c r="H5">
        <f>Zbiorcza!AW76</f>
        <v>4443.83</v>
      </c>
      <c r="I5">
        <f>Zbiorcza!AX76</f>
        <v>5686.69</v>
      </c>
    </row>
    <row r="6" spans="1:9" x14ac:dyDescent="0.25">
      <c r="A6" t="str">
        <f>Zbiorcza!AP77</f>
        <v>II 2016</v>
      </c>
      <c r="B6">
        <f>Zbiorcza!AQ77</f>
        <v>5896.12</v>
      </c>
      <c r="C6">
        <f>Zbiorcza!AR77</f>
        <v>1</v>
      </c>
      <c r="D6">
        <f>Zbiorcza!AS77</f>
        <v>0</v>
      </c>
      <c r="E6">
        <f>Zbiorcza!AT77</f>
        <v>0</v>
      </c>
      <c r="F6">
        <f>Zbiorcza!AU77</f>
        <v>99.59461766828997</v>
      </c>
      <c r="G6">
        <f>Zbiorcza!AV77</f>
        <v>3.1999999999999997</v>
      </c>
      <c r="H6">
        <f>Zbiorcza!AW77</f>
        <v>4286.4399999999996</v>
      </c>
      <c r="I6">
        <f>Zbiorcza!AX77</f>
        <v>5845.09</v>
      </c>
    </row>
    <row r="7" spans="1:9" x14ac:dyDescent="0.25">
      <c r="A7" t="str">
        <f>Zbiorcza!AP78</f>
        <v>III 2016</v>
      </c>
      <c r="B7">
        <f>Zbiorcza!AQ78</f>
        <v>6115.79</v>
      </c>
      <c r="C7">
        <f>Zbiorcza!AR78</f>
        <v>1</v>
      </c>
      <c r="D7">
        <f>Zbiorcza!AS78</f>
        <v>0</v>
      </c>
      <c r="E7">
        <f>Zbiorcza!AT78</f>
        <v>0</v>
      </c>
      <c r="F7">
        <f>Zbiorcza!AU78</f>
        <v>99.295833815285107</v>
      </c>
      <c r="G7">
        <f>Zbiorcza!AV78</f>
        <v>3.0666666666666664</v>
      </c>
      <c r="H7">
        <f>Zbiorcza!AW78</f>
        <v>4474.43</v>
      </c>
      <c r="I7">
        <f>Zbiorcza!AX78</f>
        <v>5896.12</v>
      </c>
    </row>
    <row r="8" spans="1:9" x14ac:dyDescent="0.25">
      <c r="A8" t="str">
        <f>Zbiorcza!AP79</f>
        <v>IV 2016</v>
      </c>
      <c r="B8">
        <f>Zbiorcza!AQ79</f>
        <v>6284.16</v>
      </c>
      <c r="C8">
        <f>Zbiorcza!AR79</f>
        <v>1</v>
      </c>
      <c r="D8">
        <f>Zbiorcza!AS79</f>
        <v>0</v>
      </c>
      <c r="E8">
        <f>Zbiorcza!AT79</f>
        <v>0</v>
      </c>
      <c r="F8">
        <f>Zbiorcza!AU79</f>
        <v>99.792312984361516</v>
      </c>
      <c r="G8">
        <f>Zbiorcza!AV79</f>
        <v>2.7999999999999994</v>
      </c>
      <c r="H8">
        <f>Zbiorcza!AW79</f>
        <v>4616.2299999999996</v>
      </c>
      <c r="I8">
        <f>Zbiorcza!AX79</f>
        <v>6115.79</v>
      </c>
    </row>
    <row r="9" spans="1:9" x14ac:dyDescent="0.25">
      <c r="A9" t="str">
        <f>Zbiorcza!AP80</f>
        <v>I 2017</v>
      </c>
      <c r="B9">
        <f>Zbiorcza!AQ80</f>
        <v>6522.09</v>
      </c>
      <c r="C9">
        <f>Zbiorcza!AR80</f>
        <v>1</v>
      </c>
      <c r="D9">
        <f>Zbiorcza!AS80</f>
        <v>0</v>
      </c>
      <c r="E9">
        <f>Zbiorcza!AT80</f>
        <v>0</v>
      </c>
      <c r="F9">
        <f>Zbiorcza!AU80</f>
        <v>101.0896130531582</v>
      </c>
      <c r="G9">
        <f>Zbiorcza!AV80</f>
        <v>2.7333333333333329</v>
      </c>
      <c r="H9">
        <f>Zbiorcza!AW80</f>
        <v>4648.6899999999996</v>
      </c>
      <c r="I9">
        <f>Zbiorcza!AX80</f>
        <v>6284.16</v>
      </c>
    </row>
    <row r="10" spans="1:9" x14ac:dyDescent="0.25">
      <c r="A10" t="str">
        <f>Zbiorcza!AP81</f>
        <v>II 2017</v>
      </c>
      <c r="B10">
        <f>Zbiorcza!AQ81</f>
        <v>6336.6189999999997</v>
      </c>
      <c r="C10">
        <f>Zbiorcza!AR81</f>
        <v>1</v>
      </c>
      <c r="D10">
        <f>Zbiorcza!AS81</f>
        <v>0</v>
      </c>
      <c r="E10">
        <f>Zbiorcza!AT81</f>
        <v>0</v>
      </c>
      <c r="F10">
        <f>Zbiorcza!AU81</f>
        <v>101.29179227926451</v>
      </c>
      <c r="G10">
        <f>Zbiorcza!AV81</f>
        <v>2.5666666666666669</v>
      </c>
      <c r="H10">
        <f>Zbiorcza!AW81</f>
        <v>4657.1099999999997</v>
      </c>
      <c r="I10">
        <f>Zbiorcza!AX81</f>
        <v>6522.09</v>
      </c>
    </row>
    <row r="11" spans="1:9" x14ac:dyDescent="0.25">
      <c r="A11" t="str">
        <f>Zbiorcza!AP82</f>
        <v>III 2017</v>
      </c>
      <c r="B11">
        <f>Zbiorcza!AQ82</f>
        <v>6149.75</v>
      </c>
      <c r="C11">
        <f>Zbiorcza!AR82</f>
        <v>1</v>
      </c>
      <c r="D11">
        <f>Zbiorcza!AS82</f>
        <v>0</v>
      </c>
      <c r="E11">
        <f>Zbiorcza!AT82</f>
        <v>0</v>
      </c>
      <c r="F11">
        <f>Zbiorcza!AU82</f>
        <v>101.08920869470599</v>
      </c>
      <c r="G11">
        <f>Zbiorcza!AV82</f>
        <v>2.4333333333333336</v>
      </c>
      <c r="H11">
        <f>Zbiorcza!AW82</f>
        <v>4607.47</v>
      </c>
      <c r="I11">
        <f>Zbiorcza!AX82</f>
        <v>6336.6189999999997</v>
      </c>
    </row>
    <row r="12" spans="1:9" x14ac:dyDescent="0.25">
      <c r="A12" t="str">
        <f>Zbiorcza!AP83</f>
        <v>IV 2017</v>
      </c>
      <c r="B12">
        <f>Zbiorcza!AQ83</f>
        <v>6348.97</v>
      </c>
      <c r="C12">
        <f>Zbiorcza!AR83</f>
        <v>1</v>
      </c>
      <c r="D12">
        <f>Zbiorcza!AS83</f>
        <v>0</v>
      </c>
      <c r="E12">
        <f>Zbiorcza!AT83</f>
        <v>0</v>
      </c>
      <c r="F12">
        <f>Zbiorcza!AU83</f>
        <v>101.99901157295835</v>
      </c>
      <c r="G12">
        <f>Zbiorcza!AV83</f>
        <v>2.1666666666666665</v>
      </c>
      <c r="H12">
        <f>Zbiorcza!AW83</f>
        <v>4974.3599999999997</v>
      </c>
      <c r="I12">
        <f>Zbiorcza!AX83</f>
        <v>6149.75</v>
      </c>
    </row>
    <row r="13" spans="1:9" x14ac:dyDescent="0.25">
      <c r="A13" t="str">
        <f>Zbiorcza!AP84</f>
        <v>I 2018</v>
      </c>
      <c r="B13">
        <f>Zbiorcza!AQ84</f>
        <v>6958.7889999999998</v>
      </c>
      <c r="C13">
        <f>Zbiorcza!AR84</f>
        <v>1</v>
      </c>
      <c r="D13">
        <f>Zbiorcza!AS84</f>
        <v>0</v>
      </c>
      <c r="E13">
        <f>Zbiorcza!AT84</f>
        <v>0</v>
      </c>
      <c r="F13">
        <f>Zbiorcza!AU84</f>
        <v>102.30500860767722</v>
      </c>
      <c r="G13">
        <f>Zbiorcza!AV84</f>
        <v>2.2000000000000002</v>
      </c>
      <c r="H13">
        <f>Zbiorcza!AW84</f>
        <v>4986.01</v>
      </c>
      <c r="I13">
        <f>Zbiorcza!AX84</f>
        <v>6348.97</v>
      </c>
    </row>
    <row r="14" spans="1:9" x14ac:dyDescent="0.25">
      <c r="A14" t="str">
        <f>Zbiorcza!AP85</f>
        <v>II 2018</v>
      </c>
      <c r="B14">
        <f>Zbiorcza!AQ85</f>
        <v>6913.8440000000001</v>
      </c>
      <c r="C14">
        <f>Zbiorcza!AR85</f>
        <v>1</v>
      </c>
      <c r="D14">
        <f>Zbiorcza!AS85</f>
        <v>0</v>
      </c>
      <c r="E14">
        <f>Zbiorcza!AT85</f>
        <v>0</v>
      </c>
      <c r="F14">
        <f>Zbiorcza!AU85</f>
        <v>102.71422864210793</v>
      </c>
      <c r="G14">
        <f>Zbiorcza!AV85</f>
        <v>2.0666666666666669</v>
      </c>
      <c r="H14">
        <f>Zbiorcza!AW85</f>
        <v>4919.18</v>
      </c>
      <c r="I14">
        <f>Zbiorcza!AX85</f>
        <v>6958.7889999999998</v>
      </c>
    </row>
    <row r="15" spans="1:9" x14ac:dyDescent="0.25">
      <c r="A15" t="str">
        <f>Zbiorcza!AP86</f>
        <v>III 2018</v>
      </c>
      <c r="B15">
        <f>Zbiorcza!AQ86</f>
        <v>6972.1450000000004</v>
      </c>
      <c r="C15">
        <f>Zbiorcza!AR86</f>
        <v>1</v>
      </c>
      <c r="D15">
        <f>Zbiorcza!AS86</f>
        <v>0</v>
      </c>
      <c r="E15">
        <f>Zbiorcza!AT86</f>
        <v>0</v>
      </c>
      <c r="F15">
        <f>Zbiorcza!AU86</f>
        <v>102.71422864210793</v>
      </c>
      <c r="G15">
        <f>Zbiorcza!AV86</f>
        <v>1.8999999999999997</v>
      </c>
      <c r="H15">
        <f>Zbiorcza!AW86</f>
        <v>4962.2</v>
      </c>
      <c r="I15">
        <f>Zbiorcza!AX86</f>
        <v>6913.8440000000001</v>
      </c>
    </row>
    <row r="16" spans="1:9" x14ac:dyDescent="0.25">
      <c r="A16" t="str">
        <f>Zbiorcza!AP87</f>
        <v>IV 2018</v>
      </c>
      <c r="B16">
        <f>Zbiorcza!AQ87</f>
        <v>6984.1</v>
      </c>
      <c r="C16">
        <f>Zbiorcza!AR87</f>
        <v>1</v>
      </c>
      <c r="D16">
        <f>Zbiorcza!AS87</f>
        <v>0</v>
      </c>
      <c r="E16">
        <f>Zbiorcza!AT87</f>
        <v>0</v>
      </c>
      <c r="F16">
        <f>Zbiorcza!AU87</f>
        <v>102.91965709939214</v>
      </c>
      <c r="G16">
        <f>Zbiorcza!AV87</f>
        <v>1.8333333333333333</v>
      </c>
      <c r="H16">
        <f>Zbiorcza!AW87</f>
        <v>5245.92</v>
      </c>
      <c r="I16">
        <f>Zbiorcza!AX87</f>
        <v>6972.1450000000004</v>
      </c>
    </row>
    <row r="17" spans="1:9" x14ac:dyDescent="0.25">
      <c r="A17" t="str">
        <f>Zbiorcza!AP88</f>
        <v>I 2015</v>
      </c>
      <c r="B17">
        <f>Zbiorcza!AQ88</f>
        <v>5529.18</v>
      </c>
      <c r="C17">
        <f>Zbiorcza!AR88</f>
        <v>0</v>
      </c>
      <c r="D17">
        <f>Zbiorcza!AS88</f>
        <v>1</v>
      </c>
      <c r="E17">
        <f>Zbiorcza!AT88</f>
        <v>0</v>
      </c>
      <c r="F17">
        <f>Zbiorcza!AU88</f>
        <v>100</v>
      </c>
      <c r="G17">
        <f>Zbiorcza!AV88</f>
        <v>4.1333333333333337</v>
      </c>
      <c r="H17">
        <f>Zbiorcza!AW88</f>
        <v>4290.7299999999996</v>
      </c>
      <c r="I17">
        <f>Zbiorcza!AX88</f>
        <v>6984.1</v>
      </c>
    </row>
    <row r="18" spans="1:9" x14ac:dyDescent="0.25">
      <c r="A18" t="str">
        <f>Zbiorcza!AP89</f>
        <v>II 2015</v>
      </c>
      <c r="B18">
        <f>Zbiorcza!AQ89</f>
        <v>5604.4400000000005</v>
      </c>
      <c r="C18">
        <f>Zbiorcza!AR89</f>
        <v>0</v>
      </c>
      <c r="D18">
        <f>Zbiorcza!AS89</f>
        <v>1</v>
      </c>
      <c r="E18">
        <f>Zbiorcza!AT89</f>
        <v>0</v>
      </c>
      <c r="F18">
        <f>Zbiorcza!AU89</f>
        <v>100.49999999999999</v>
      </c>
      <c r="G18">
        <f>Zbiorcza!AV89</f>
        <v>3.9</v>
      </c>
      <c r="H18">
        <f>Zbiorcza!AW89</f>
        <v>4230.3599999999997</v>
      </c>
      <c r="I18">
        <f>Zbiorcza!AX89</f>
        <v>5529.18</v>
      </c>
    </row>
    <row r="19" spans="1:9" x14ac:dyDescent="0.25">
      <c r="A19" t="str">
        <f>Zbiorcza!AP90</f>
        <v>III 2015</v>
      </c>
      <c r="B19">
        <f>Zbiorcza!AQ90</f>
        <v>5358.9049999999997</v>
      </c>
      <c r="C19">
        <f>Zbiorcza!AR90</f>
        <v>0</v>
      </c>
      <c r="D19">
        <f>Zbiorcza!AS90</f>
        <v>1</v>
      </c>
      <c r="E19">
        <f>Zbiorcza!AT90</f>
        <v>0</v>
      </c>
      <c r="F19">
        <f>Zbiorcza!AU90</f>
        <v>100.19849999999998</v>
      </c>
      <c r="G19">
        <f>Zbiorcza!AV90</f>
        <v>3.6333333333333333</v>
      </c>
      <c r="H19">
        <f>Zbiorcza!AW90</f>
        <v>4192.01</v>
      </c>
      <c r="I19">
        <f>Zbiorcza!AX90</f>
        <v>5604.4400000000005</v>
      </c>
    </row>
    <row r="20" spans="1:9" x14ac:dyDescent="0.25">
      <c r="A20" t="str">
        <f>Zbiorcza!AP91</f>
        <v>IV 2015</v>
      </c>
      <c r="B20">
        <f>Zbiorcza!AQ91</f>
        <v>5353.34</v>
      </c>
      <c r="C20">
        <f>Zbiorcza!AR91</f>
        <v>0</v>
      </c>
      <c r="D20">
        <f>Zbiorcza!AS91</f>
        <v>1</v>
      </c>
      <c r="E20">
        <f>Zbiorcza!AT91</f>
        <v>0</v>
      </c>
      <c r="F20">
        <f>Zbiorcza!AU91</f>
        <v>99.797705999999977</v>
      </c>
      <c r="G20">
        <f>Zbiorcza!AV91</f>
        <v>3.4</v>
      </c>
      <c r="H20">
        <f>Zbiorcza!AW91</f>
        <v>4417.13</v>
      </c>
      <c r="I20">
        <f>Zbiorcza!AX91</f>
        <v>5358.9049999999997</v>
      </c>
    </row>
    <row r="21" spans="1:9" x14ac:dyDescent="0.25">
      <c r="A21" t="str">
        <f>Zbiorcza!AP92</f>
        <v>I 2016</v>
      </c>
      <c r="B21">
        <f>Zbiorcza!AQ92</f>
        <v>5477.6450000000004</v>
      </c>
      <c r="C21">
        <f>Zbiorcza!AR92</f>
        <v>0</v>
      </c>
      <c r="D21">
        <f>Zbiorcza!AS92</f>
        <v>1</v>
      </c>
      <c r="E21">
        <f>Zbiorcza!AT92</f>
        <v>0</v>
      </c>
      <c r="F21">
        <f>Zbiorcza!AU92</f>
        <v>99.099122057999978</v>
      </c>
      <c r="G21">
        <f>Zbiorcza!AV92</f>
        <v>3.4333333333333336</v>
      </c>
      <c r="H21">
        <f>Zbiorcza!AW92</f>
        <v>4443.83</v>
      </c>
      <c r="I21">
        <f>Zbiorcza!AX92</f>
        <v>5353.34</v>
      </c>
    </row>
    <row r="22" spans="1:9" x14ac:dyDescent="0.25">
      <c r="A22" t="str">
        <f>Zbiorcza!AP93</f>
        <v>II 2016</v>
      </c>
      <c r="B22">
        <f>Zbiorcza!AQ93</f>
        <v>5540.8150000000005</v>
      </c>
      <c r="C22">
        <f>Zbiorcza!AR93</f>
        <v>0</v>
      </c>
      <c r="D22">
        <f>Zbiorcza!AS93</f>
        <v>1</v>
      </c>
      <c r="E22">
        <f>Zbiorcza!AT93</f>
        <v>0</v>
      </c>
      <c r="F22">
        <f>Zbiorcza!AU93</f>
        <v>99.59461766828997</v>
      </c>
      <c r="G22">
        <f>Zbiorcza!AV93</f>
        <v>3.1999999999999997</v>
      </c>
      <c r="H22">
        <f>Zbiorcza!AW93</f>
        <v>4286.4399999999996</v>
      </c>
      <c r="I22">
        <f>Zbiorcza!AX93</f>
        <v>5477.6450000000004</v>
      </c>
    </row>
    <row r="23" spans="1:9" x14ac:dyDescent="0.25">
      <c r="A23" t="str">
        <f>Zbiorcza!AP94</f>
        <v>III 2016</v>
      </c>
      <c r="B23">
        <f>Zbiorcza!AQ94</f>
        <v>5661.2250000000004</v>
      </c>
      <c r="C23">
        <f>Zbiorcza!AR94</f>
        <v>0</v>
      </c>
      <c r="D23">
        <f>Zbiorcza!AS94</f>
        <v>1</v>
      </c>
      <c r="E23">
        <f>Zbiorcza!AT94</f>
        <v>0</v>
      </c>
      <c r="F23">
        <f>Zbiorcza!AU94</f>
        <v>99.295833815285107</v>
      </c>
      <c r="G23">
        <f>Zbiorcza!AV94</f>
        <v>3.0666666666666664</v>
      </c>
      <c r="H23">
        <f>Zbiorcza!AW94</f>
        <v>4474.43</v>
      </c>
      <c r="I23">
        <f>Zbiorcza!AX94</f>
        <v>5540.8150000000005</v>
      </c>
    </row>
    <row r="24" spans="1:9" x14ac:dyDescent="0.25">
      <c r="A24" t="str">
        <f>Zbiorcza!AP95</f>
        <v>IV 2016</v>
      </c>
      <c r="B24">
        <f>Zbiorcza!AQ95</f>
        <v>5669.8099999999995</v>
      </c>
      <c r="C24">
        <f>Zbiorcza!AR95</f>
        <v>0</v>
      </c>
      <c r="D24">
        <f>Zbiorcza!AS95</f>
        <v>1</v>
      </c>
      <c r="E24">
        <f>Zbiorcza!AT95</f>
        <v>0</v>
      </c>
      <c r="F24">
        <f>Zbiorcza!AU95</f>
        <v>99.792312984361516</v>
      </c>
      <c r="G24">
        <f>Zbiorcza!AV95</f>
        <v>2.7999999999999994</v>
      </c>
      <c r="H24">
        <f>Zbiorcza!AW95</f>
        <v>4616.2299999999996</v>
      </c>
      <c r="I24">
        <f>Zbiorcza!AX95</f>
        <v>5661.2250000000004</v>
      </c>
    </row>
    <row r="25" spans="1:9" x14ac:dyDescent="0.25">
      <c r="A25" t="str">
        <f>Zbiorcza!AP96</f>
        <v>I 2017</v>
      </c>
      <c r="B25">
        <f>Zbiorcza!AQ96</f>
        <v>5599.2</v>
      </c>
      <c r="C25">
        <f>Zbiorcza!AR96</f>
        <v>0</v>
      </c>
      <c r="D25">
        <f>Zbiorcza!AS96</f>
        <v>1</v>
      </c>
      <c r="E25">
        <f>Zbiorcza!AT96</f>
        <v>0</v>
      </c>
      <c r="F25">
        <f>Zbiorcza!AU96</f>
        <v>101.0896130531582</v>
      </c>
      <c r="G25">
        <f>Zbiorcza!AV96</f>
        <v>2.7333333333333329</v>
      </c>
      <c r="H25">
        <f>Zbiorcza!AW96</f>
        <v>4648.6899999999996</v>
      </c>
      <c r="I25">
        <f>Zbiorcza!AX96</f>
        <v>5669.8099999999995</v>
      </c>
    </row>
    <row r="26" spans="1:9" x14ac:dyDescent="0.25">
      <c r="A26" t="str">
        <f>Zbiorcza!AP97</f>
        <v>II 2017</v>
      </c>
      <c r="B26">
        <f>Zbiorcza!AQ97</f>
        <v>5726.8109999999997</v>
      </c>
      <c r="C26">
        <f>Zbiorcza!AR97</f>
        <v>0</v>
      </c>
      <c r="D26">
        <f>Zbiorcza!AS97</f>
        <v>1</v>
      </c>
      <c r="E26">
        <f>Zbiorcza!AT97</f>
        <v>0</v>
      </c>
      <c r="F26">
        <f>Zbiorcza!AU97</f>
        <v>101.29179227926451</v>
      </c>
      <c r="G26">
        <f>Zbiorcza!AV97</f>
        <v>2.5666666666666669</v>
      </c>
      <c r="H26">
        <f>Zbiorcza!AW97</f>
        <v>4657.1099999999997</v>
      </c>
      <c r="I26">
        <f>Zbiorcza!AX97</f>
        <v>5599.2</v>
      </c>
    </row>
    <row r="27" spans="1:9" x14ac:dyDescent="0.25">
      <c r="A27" t="str">
        <f>Zbiorcza!AP98</f>
        <v>III 2017</v>
      </c>
      <c r="B27">
        <f>Zbiorcza!AQ98</f>
        <v>5727.5830000000005</v>
      </c>
      <c r="C27">
        <f>Zbiorcza!AR98</f>
        <v>0</v>
      </c>
      <c r="D27">
        <f>Zbiorcza!AS98</f>
        <v>1</v>
      </c>
      <c r="E27">
        <f>Zbiorcza!AT98</f>
        <v>0</v>
      </c>
      <c r="F27">
        <f>Zbiorcza!AU98</f>
        <v>101.08920869470599</v>
      </c>
      <c r="G27">
        <f>Zbiorcza!AV98</f>
        <v>2.4333333333333336</v>
      </c>
      <c r="H27">
        <f>Zbiorcza!AW98</f>
        <v>4607.47</v>
      </c>
      <c r="I27">
        <f>Zbiorcza!AX98</f>
        <v>5726.8109999999997</v>
      </c>
    </row>
    <row r="28" spans="1:9" x14ac:dyDescent="0.25">
      <c r="A28" t="str">
        <f>Zbiorcza!AP99</f>
        <v>IV 2017</v>
      </c>
      <c r="B28">
        <f>Zbiorcza!AQ99</f>
        <v>5871.4949999999999</v>
      </c>
      <c r="C28">
        <f>Zbiorcza!AR99</f>
        <v>0</v>
      </c>
      <c r="D28">
        <f>Zbiorcza!AS99</f>
        <v>1</v>
      </c>
      <c r="E28">
        <f>Zbiorcza!AT99</f>
        <v>0</v>
      </c>
      <c r="F28">
        <f>Zbiorcza!AU99</f>
        <v>101.99901157295835</v>
      </c>
      <c r="G28">
        <f>Zbiorcza!AV99</f>
        <v>2.1666666666666665</v>
      </c>
      <c r="H28">
        <f>Zbiorcza!AW99</f>
        <v>4974.3599999999997</v>
      </c>
      <c r="I28">
        <f>Zbiorcza!AX99</f>
        <v>5727.5830000000005</v>
      </c>
    </row>
    <row r="29" spans="1:9" x14ac:dyDescent="0.25">
      <c r="A29" t="str">
        <f>Zbiorcza!AP100</f>
        <v>I 2018</v>
      </c>
      <c r="B29">
        <f>Zbiorcza!AQ100</f>
        <v>5846.9565000000002</v>
      </c>
      <c r="C29">
        <f>Zbiorcza!AR100</f>
        <v>0</v>
      </c>
      <c r="D29">
        <f>Zbiorcza!AS100</f>
        <v>1</v>
      </c>
      <c r="E29">
        <f>Zbiorcza!AT100</f>
        <v>0</v>
      </c>
      <c r="F29">
        <f>Zbiorcza!AU100</f>
        <v>102.30500860767722</v>
      </c>
      <c r="G29">
        <f>Zbiorcza!AV100</f>
        <v>2.2000000000000002</v>
      </c>
      <c r="H29">
        <f>Zbiorcza!AW100</f>
        <v>4986.01</v>
      </c>
      <c r="I29">
        <f>Zbiorcza!AX100</f>
        <v>5871.4949999999999</v>
      </c>
    </row>
    <row r="30" spans="1:9" x14ac:dyDescent="0.25">
      <c r="A30" t="str">
        <f>Zbiorcza!AP101</f>
        <v>II 2018</v>
      </c>
      <c r="B30">
        <f>Zbiorcza!AQ101</f>
        <v>5757.0974999999999</v>
      </c>
      <c r="C30">
        <f>Zbiorcza!AR101</f>
        <v>0</v>
      </c>
      <c r="D30">
        <f>Zbiorcza!AS101</f>
        <v>1</v>
      </c>
      <c r="E30">
        <f>Zbiorcza!AT101</f>
        <v>0</v>
      </c>
      <c r="F30">
        <f>Zbiorcza!AU101</f>
        <v>102.71422864210793</v>
      </c>
      <c r="G30">
        <f>Zbiorcza!AV101</f>
        <v>2.0666666666666669</v>
      </c>
      <c r="H30">
        <f>Zbiorcza!AW101</f>
        <v>4919.18</v>
      </c>
      <c r="I30">
        <f>Zbiorcza!AX101</f>
        <v>5846.9565000000002</v>
      </c>
    </row>
    <row r="31" spans="1:9" x14ac:dyDescent="0.25">
      <c r="A31" t="str">
        <f>Zbiorcza!AP102</f>
        <v>III 2018</v>
      </c>
      <c r="B31">
        <f>Zbiorcza!AQ102</f>
        <v>6253.3595000000005</v>
      </c>
      <c r="C31">
        <f>Zbiorcza!AR102</f>
        <v>0</v>
      </c>
      <c r="D31">
        <f>Zbiorcza!AS102</f>
        <v>1</v>
      </c>
      <c r="E31">
        <f>Zbiorcza!AT102</f>
        <v>0</v>
      </c>
      <c r="F31">
        <f>Zbiorcza!AU102</f>
        <v>102.71422864210793</v>
      </c>
      <c r="G31">
        <f>Zbiorcza!AV102</f>
        <v>1.8999999999999997</v>
      </c>
      <c r="H31">
        <f>Zbiorcza!AW102</f>
        <v>4962.2</v>
      </c>
      <c r="I31">
        <f>Zbiorcza!AX102</f>
        <v>5757.0974999999999</v>
      </c>
    </row>
    <row r="32" spans="1:9" x14ac:dyDescent="0.25">
      <c r="A32" t="str">
        <f>Zbiorcza!AP103</f>
        <v>IV 2018</v>
      </c>
      <c r="B32">
        <f>Zbiorcza!AQ103</f>
        <v>6497.3249999999998</v>
      </c>
      <c r="C32">
        <f>Zbiorcza!AR103</f>
        <v>0</v>
      </c>
      <c r="D32">
        <f>Zbiorcza!AS103</f>
        <v>1</v>
      </c>
      <c r="E32">
        <f>Zbiorcza!AT103</f>
        <v>0</v>
      </c>
      <c r="F32">
        <f>Zbiorcza!AU103</f>
        <v>102.91965709939214</v>
      </c>
      <c r="G32">
        <f>Zbiorcza!AV103</f>
        <v>1.8333333333333333</v>
      </c>
      <c r="H32">
        <f>Zbiorcza!AW103</f>
        <v>5245.92</v>
      </c>
      <c r="I32">
        <f>Zbiorcza!AX103</f>
        <v>6253.3595000000005</v>
      </c>
    </row>
    <row r="33" spans="1:9" x14ac:dyDescent="0.25">
      <c r="A33" t="str">
        <f>Zbiorcza!AP104</f>
        <v>I 2015</v>
      </c>
      <c r="B33">
        <f>Zbiorcza!AQ104</f>
        <v>5440.7233333333343</v>
      </c>
      <c r="C33">
        <f>Zbiorcza!AR104</f>
        <v>0</v>
      </c>
      <c r="D33">
        <f>Zbiorcza!AS104</f>
        <v>0</v>
      </c>
      <c r="E33">
        <f>Zbiorcza!AT104</f>
        <v>1</v>
      </c>
      <c r="F33">
        <f>Zbiorcza!AU104</f>
        <v>100</v>
      </c>
      <c r="G33">
        <f>Zbiorcza!AV104</f>
        <v>4.1333333333333337</v>
      </c>
      <c r="H33">
        <f>Zbiorcza!AW104</f>
        <v>4290.7299999999996</v>
      </c>
      <c r="I33">
        <f>Zbiorcza!AX104</f>
        <v>6497.3249999999998</v>
      </c>
    </row>
    <row r="34" spans="1:9" x14ac:dyDescent="0.25">
      <c r="A34" t="str">
        <f>Zbiorcza!AP105</f>
        <v>II 2015</v>
      </c>
      <c r="B34">
        <f>Zbiorcza!AQ105</f>
        <v>5617.3833333333341</v>
      </c>
      <c r="C34">
        <f>Zbiorcza!AR105</f>
        <v>0</v>
      </c>
      <c r="D34">
        <f>Zbiorcza!AS105</f>
        <v>0</v>
      </c>
      <c r="E34">
        <f>Zbiorcza!AT105</f>
        <v>1</v>
      </c>
      <c r="F34">
        <f>Zbiorcza!AU105</f>
        <v>100.49999999999999</v>
      </c>
      <c r="G34">
        <f>Zbiorcza!AV105</f>
        <v>3.9</v>
      </c>
      <c r="H34">
        <f>Zbiorcza!AW105</f>
        <v>4230.3599999999997</v>
      </c>
      <c r="I34">
        <f>Zbiorcza!AX105</f>
        <v>5440.7233333333343</v>
      </c>
    </row>
    <row r="35" spans="1:9" x14ac:dyDescent="0.25">
      <c r="A35" t="str">
        <f>Zbiorcza!AP106</f>
        <v>III 2015</v>
      </c>
      <c r="B35">
        <f>Zbiorcza!AQ106</f>
        <v>5696.9033333333327</v>
      </c>
      <c r="C35">
        <f>Zbiorcza!AR106</f>
        <v>0</v>
      </c>
      <c r="D35">
        <f>Zbiorcza!AS106</f>
        <v>0</v>
      </c>
      <c r="E35">
        <f>Zbiorcza!AT106</f>
        <v>1</v>
      </c>
      <c r="F35">
        <f>Zbiorcza!AU106</f>
        <v>100.19849999999998</v>
      </c>
      <c r="G35">
        <f>Zbiorcza!AV106</f>
        <v>3.6333333333333333</v>
      </c>
      <c r="H35">
        <f>Zbiorcza!AW106</f>
        <v>4192.01</v>
      </c>
      <c r="I35">
        <f>Zbiorcza!AX106</f>
        <v>5617.3833333333341</v>
      </c>
    </row>
    <row r="36" spans="1:9" x14ac:dyDescent="0.25">
      <c r="A36" t="str">
        <f>Zbiorcza!AP107</f>
        <v>IV 2015</v>
      </c>
      <c r="B36">
        <f>Zbiorcza!AQ107</f>
        <v>5594.3233333333337</v>
      </c>
      <c r="C36">
        <f>Zbiorcza!AR107</f>
        <v>0</v>
      </c>
      <c r="D36">
        <f>Zbiorcza!AS107</f>
        <v>0</v>
      </c>
      <c r="E36">
        <f>Zbiorcza!AT107</f>
        <v>1</v>
      </c>
      <c r="F36">
        <f>Zbiorcza!AU107</f>
        <v>99.797705999999977</v>
      </c>
      <c r="G36">
        <f>Zbiorcza!AV107</f>
        <v>3.4</v>
      </c>
      <c r="H36">
        <f>Zbiorcza!AW107</f>
        <v>4417.13</v>
      </c>
      <c r="I36">
        <f>Zbiorcza!AX107</f>
        <v>5696.9033333333327</v>
      </c>
    </row>
    <row r="37" spans="1:9" x14ac:dyDescent="0.25">
      <c r="A37" t="str">
        <f>Zbiorcza!AP108</f>
        <v>I 2016</v>
      </c>
      <c r="B37">
        <f>Zbiorcza!AQ108</f>
        <v>5500.3166666666666</v>
      </c>
      <c r="C37">
        <f>Zbiorcza!AR108</f>
        <v>0</v>
      </c>
      <c r="D37">
        <f>Zbiorcza!AS108</f>
        <v>0</v>
      </c>
      <c r="E37">
        <f>Zbiorcza!AT108</f>
        <v>1</v>
      </c>
      <c r="F37">
        <f>Zbiorcza!AU108</f>
        <v>99.099122057999978</v>
      </c>
      <c r="G37">
        <f>Zbiorcza!AV108</f>
        <v>3.4333333333333336</v>
      </c>
      <c r="H37">
        <f>Zbiorcza!AW108</f>
        <v>4443.83</v>
      </c>
      <c r="I37">
        <f>Zbiorcza!AX108</f>
        <v>5594.3233333333337</v>
      </c>
    </row>
    <row r="38" spans="1:9" x14ac:dyDescent="0.25">
      <c r="A38" t="str">
        <f>Zbiorcza!AP109</f>
        <v>II 2016</v>
      </c>
      <c r="B38">
        <f>Zbiorcza!AQ109</f>
        <v>5341.5533333333333</v>
      </c>
      <c r="C38">
        <f>Zbiorcza!AR109</f>
        <v>0</v>
      </c>
      <c r="D38">
        <f>Zbiorcza!AS109</f>
        <v>0</v>
      </c>
      <c r="E38">
        <f>Zbiorcza!AT109</f>
        <v>1</v>
      </c>
      <c r="F38">
        <f>Zbiorcza!AU109</f>
        <v>99.59461766828997</v>
      </c>
      <c r="G38">
        <f>Zbiorcza!AV109</f>
        <v>3.1999999999999997</v>
      </c>
      <c r="H38">
        <f>Zbiorcza!AW109</f>
        <v>4286.4399999999996</v>
      </c>
      <c r="I38">
        <f>Zbiorcza!AX109</f>
        <v>5500.3166666666666</v>
      </c>
    </row>
    <row r="39" spans="1:9" x14ac:dyDescent="0.25">
      <c r="A39" t="str">
        <f>Zbiorcza!AP110</f>
        <v>III 2016</v>
      </c>
      <c r="B39">
        <f>Zbiorcza!AQ110</f>
        <v>5334.9866666666667</v>
      </c>
      <c r="C39">
        <f>Zbiorcza!AR110</f>
        <v>0</v>
      </c>
      <c r="D39">
        <f>Zbiorcza!AS110</f>
        <v>0</v>
      </c>
      <c r="E39">
        <f>Zbiorcza!AT110</f>
        <v>1</v>
      </c>
      <c r="F39">
        <f>Zbiorcza!AU110</f>
        <v>99.295833815285107</v>
      </c>
      <c r="G39">
        <f>Zbiorcza!AV110</f>
        <v>3.0666666666666664</v>
      </c>
      <c r="H39">
        <f>Zbiorcza!AW110</f>
        <v>4474.43</v>
      </c>
      <c r="I39">
        <f>Zbiorcza!AX110</f>
        <v>5341.5533333333333</v>
      </c>
    </row>
    <row r="40" spans="1:9" x14ac:dyDescent="0.25">
      <c r="A40" t="str">
        <f>Zbiorcza!AP111</f>
        <v>IV 2016</v>
      </c>
      <c r="B40">
        <f>Zbiorcza!AQ111</f>
        <v>5295.0033333333331</v>
      </c>
      <c r="C40">
        <f>Zbiorcza!AR111</f>
        <v>0</v>
      </c>
      <c r="D40">
        <f>Zbiorcza!AS111</f>
        <v>0</v>
      </c>
      <c r="E40">
        <f>Zbiorcza!AT111</f>
        <v>1</v>
      </c>
      <c r="F40">
        <f>Zbiorcza!AU111</f>
        <v>99.792312984361516</v>
      </c>
      <c r="G40">
        <f>Zbiorcza!AV111</f>
        <v>2.7999999999999994</v>
      </c>
      <c r="H40">
        <f>Zbiorcza!AW111</f>
        <v>4616.2299999999996</v>
      </c>
      <c r="I40">
        <f>Zbiorcza!AX111</f>
        <v>5334.9866666666667</v>
      </c>
    </row>
    <row r="41" spans="1:9" x14ac:dyDescent="0.25">
      <c r="A41" t="str">
        <f>Zbiorcza!AP112</f>
        <v>I 2017</v>
      </c>
      <c r="B41">
        <f>Zbiorcza!AQ112</f>
        <v>5556.02</v>
      </c>
      <c r="C41">
        <f>Zbiorcza!AR112</f>
        <v>0</v>
      </c>
      <c r="D41">
        <f>Zbiorcza!AS112</f>
        <v>0</v>
      </c>
      <c r="E41">
        <f>Zbiorcza!AT112</f>
        <v>1</v>
      </c>
      <c r="F41">
        <f>Zbiorcza!AU112</f>
        <v>101.0896130531582</v>
      </c>
      <c r="G41">
        <f>Zbiorcza!AV112</f>
        <v>2.7333333333333329</v>
      </c>
      <c r="H41">
        <f>Zbiorcza!AW112</f>
        <v>4648.6899999999996</v>
      </c>
      <c r="I41">
        <f>Zbiorcza!AX112</f>
        <v>5295.0033333333331</v>
      </c>
    </row>
    <row r="42" spans="1:9" x14ac:dyDescent="0.25">
      <c r="A42" t="str">
        <f>Zbiorcza!AP113</f>
        <v>II 2017</v>
      </c>
      <c r="B42">
        <f>Zbiorcza!AQ113</f>
        <v>5490.0343333333331</v>
      </c>
      <c r="C42">
        <f>Zbiorcza!AR113</f>
        <v>0</v>
      </c>
      <c r="D42">
        <f>Zbiorcza!AS113</f>
        <v>0</v>
      </c>
      <c r="E42">
        <f>Zbiorcza!AT113</f>
        <v>1</v>
      </c>
      <c r="F42">
        <f>Zbiorcza!AU113</f>
        <v>101.29179227926451</v>
      </c>
      <c r="G42">
        <f>Zbiorcza!AV113</f>
        <v>2.5666666666666669</v>
      </c>
      <c r="H42">
        <f>Zbiorcza!AW113</f>
        <v>4657.1099999999997</v>
      </c>
      <c r="I42">
        <f>Zbiorcza!AX113</f>
        <v>5556.02</v>
      </c>
    </row>
    <row r="43" spans="1:9" x14ac:dyDescent="0.25">
      <c r="A43" t="str">
        <f>Zbiorcza!AP114</f>
        <v>III 2017</v>
      </c>
      <c r="B43">
        <f>Zbiorcza!AQ114</f>
        <v>5496.5410000000002</v>
      </c>
      <c r="C43">
        <f>Zbiorcza!AR114</f>
        <v>0</v>
      </c>
      <c r="D43">
        <f>Zbiorcza!AS114</f>
        <v>0</v>
      </c>
      <c r="E43">
        <f>Zbiorcza!AT114</f>
        <v>1</v>
      </c>
      <c r="F43">
        <f>Zbiorcza!AU114</f>
        <v>101.08920869470599</v>
      </c>
      <c r="G43">
        <f>Zbiorcza!AV114</f>
        <v>2.4333333333333336</v>
      </c>
      <c r="H43">
        <f>Zbiorcza!AW114</f>
        <v>4607.47</v>
      </c>
      <c r="I43">
        <f>Zbiorcza!AX114</f>
        <v>5490.0343333333331</v>
      </c>
    </row>
    <row r="44" spans="1:9" x14ac:dyDescent="0.25">
      <c r="A44" t="str">
        <f>Zbiorcza!AP115</f>
        <v>IV 2017</v>
      </c>
      <c r="B44">
        <f>Zbiorcza!AQ115</f>
        <v>5433.8966666666665</v>
      </c>
      <c r="C44">
        <f>Zbiorcza!AR115</f>
        <v>0</v>
      </c>
      <c r="D44">
        <f>Zbiorcza!AS115</f>
        <v>0</v>
      </c>
      <c r="E44">
        <f>Zbiorcza!AT115</f>
        <v>1</v>
      </c>
      <c r="F44">
        <f>Zbiorcza!AU115</f>
        <v>101.99901157295835</v>
      </c>
      <c r="G44">
        <f>Zbiorcza!AV115</f>
        <v>2.1666666666666665</v>
      </c>
      <c r="H44">
        <f>Zbiorcza!AW115</f>
        <v>4974.3599999999997</v>
      </c>
      <c r="I44">
        <f>Zbiorcza!AX115</f>
        <v>5496.5410000000002</v>
      </c>
    </row>
    <row r="45" spans="1:9" x14ac:dyDescent="0.25">
      <c r="A45" t="str">
        <f>Zbiorcza!AP116</f>
        <v>I 2018</v>
      </c>
      <c r="B45">
        <f>Zbiorcza!AQ116</f>
        <v>5631.2016666666668</v>
      </c>
      <c r="C45">
        <f>Zbiorcza!AR116</f>
        <v>0</v>
      </c>
      <c r="D45">
        <f>Zbiorcza!AS116</f>
        <v>0</v>
      </c>
      <c r="E45">
        <f>Zbiorcza!AT116</f>
        <v>1</v>
      </c>
      <c r="F45">
        <f>Zbiorcza!AU116</f>
        <v>102.30500860767722</v>
      </c>
      <c r="G45">
        <f>Zbiorcza!AV116</f>
        <v>2.2000000000000002</v>
      </c>
      <c r="H45">
        <f>Zbiorcza!AW116</f>
        <v>4986.01</v>
      </c>
      <c r="I45">
        <f>Zbiorcza!AX116</f>
        <v>5433.8966666666665</v>
      </c>
    </row>
    <row r="46" spans="1:9" x14ac:dyDescent="0.25">
      <c r="A46" t="str">
        <f>Zbiorcza!AP117</f>
        <v>II 2018</v>
      </c>
      <c r="B46">
        <f>Zbiorcza!AQ117</f>
        <v>5675.4643333333333</v>
      </c>
      <c r="C46">
        <f>Zbiorcza!AR117</f>
        <v>0</v>
      </c>
      <c r="D46">
        <f>Zbiorcza!AS117</f>
        <v>0</v>
      </c>
      <c r="E46">
        <f>Zbiorcza!AT117</f>
        <v>1</v>
      </c>
      <c r="F46">
        <f>Zbiorcza!AU117</f>
        <v>102.71422864210793</v>
      </c>
      <c r="G46">
        <f>Zbiorcza!AV117</f>
        <v>2.0666666666666669</v>
      </c>
      <c r="H46">
        <f>Zbiorcza!AW117</f>
        <v>4919.18</v>
      </c>
      <c r="I46">
        <f>Zbiorcza!AX117</f>
        <v>5631.2016666666668</v>
      </c>
    </row>
    <row r="47" spans="1:9" x14ac:dyDescent="0.25">
      <c r="A47" t="str">
        <f>Zbiorcza!AP118</f>
        <v>III 2018</v>
      </c>
      <c r="B47">
        <f>Zbiorcza!AQ118</f>
        <v>5809.1043333333337</v>
      </c>
      <c r="C47">
        <f>Zbiorcza!AR118</f>
        <v>0</v>
      </c>
      <c r="D47">
        <f>Zbiorcza!AS118</f>
        <v>0</v>
      </c>
      <c r="E47">
        <f>Zbiorcza!AT118</f>
        <v>1</v>
      </c>
      <c r="F47">
        <f>Zbiorcza!AU118</f>
        <v>102.71422864210793</v>
      </c>
      <c r="G47">
        <f>Zbiorcza!AV118</f>
        <v>1.8999999999999997</v>
      </c>
      <c r="H47">
        <f>Zbiorcza!AW118</f>
        <v>4962.2</v>
      </c>
      <c r="I47">
        <f>Zbiorcza!AX118</f>
        <v>5675.4643333333333</v>
      </c>
    </row>
    <row r="48" spans="1:9" x14ac:dyDescent="0.25">
      <c r="A48" t="str">
        <f>Zbiorcza!AP119</f>
        <v>IV 2018</v>
      </c>
      <c r="B48">
        <f>Zbiorcza!AQ119</f>
        <v>5861.37</v>
      </c>
      <c r="C48">
        <f>Zbiorcza!AR119</f>
        <v>0</v>
      </c>
      <c r="D48">
        <f>Zbiorcza!AS119</f>
        <v>0</v>
      </c>
      <c r="E48">
        <f>Zbiorcza!AT119</f>
        <v>1</v>
      </c>
      <c r="F48">
        <f>Zbiorcza!AU119</f>
        <v>102.91965709939214</v>
      </c>
      <c r="G48">
        <f>Zbiorcza!AV119</f>
        <v>1.8333333333333333</v>
      </c>
      <c r="H48">
        <f>Zbiorcza!AW119</f>
        <v>5245.92</v>
      </c>
      <c r="I48">
        <f>Zbiorcza!AX119</f>
        <v>5809.1043333333337</v>
      </c>
    </row>
    <row r="49" spans="1:9" x14ac:dyDescent="0.25">
      <c r="A49" t="str">
        <f>Zbiorcza!AP120</f>
        <v>I 2015</v>
      </c>
      <c r="B49">
        <f>Zbiorcza!AQ120</f>
        <v>5817.58</v>
      </c>
      <c r="C49">
        <f>Zbiorcza!AR120</f>
        <v>-1</v>
      </c>
      <c r="D49">
        <f>Zbiorcza!AS120</f>
        <v>-1</v>
      </c>
      <c r="E49">
        <f>Zbiorcza!AT120</f>
        <v>-1</v>
      </c>
      <c r="F49">
        <f>Zbiorcza!AU120</f>
        <v>100</v>
      </c>
      <c r="G49">
        <f>Zbiorcza!AV120</f>
        <v>4.1333333333333337</v>
      </c>
      <c r="H49">
        <f>Zbiorcza!AW120</f>
        <v>4290.7299999999996</v>
      </c>
      <c r="I49">
        <f>Zbiorcza!AX120</f>
        <v>5861.37</v>
      </c>
    </row>
    <row r="50" spans="1:9" x14ac:dyDescent="0.25">
      <c r="A50" t="str">
        <f>Zbiorcza!AP121</f>
        <v>II 2015</v>
      </c>
      <c r="B50">
        <f>Zbiorcza!AQ121</f>
        <v>5859.6849999999995</v>
      </c>
      <c r="C50">
        <f>Zbiorcza!AR121</f>
        <v>-1</v>
      </c>
      <c r="D50">
        <f>Zbiorcza!AS121</f>
        <v>-1</v>
      </c>
      <c r="E50">
        <f>Zbiorcza!AT121</f>
        <v>-1</v>
      </c>
      <c r="F50">
        <f>Zbiorcza!AU121</f>
        <v>100.49999999999999</v>
      </c>
      <c r="G50">
        <f>Zbiorcza!AV121</f>
        <v>3.9</v>
      </c>
      <c r="H50">
        <f>Zbiorcza!AW121</f>
        <v>4230.3599999999997</v>
      </c>
      <c r="I50">
        <f>Zbiorcza!AX121</f>
        <v>5817.58</v>
      </c>
    </row>
    <row r="51" spans="1:9" x14ac:dyDescent="0.25">
      <c r="A51" t="str">
        <f>Zbiorcza!AP122</f>
        <v>III 2015</v>
      </c>
      <c r="B51">
        <f>Zbiorcza!AQ122</f>
        <v>5884.9449999999997</v>
      </c>
      <c r="C51">
        <f>Zbiorcza!AR122</f>
        <v>-1</v>
      </c>
      <c r="D51">
        <f>Zbiorcza!AS122</f>
        <v>-1</v>
      </c>
      <c r="E51">
        <f>Zbiorcza!AT122</f>
        <v>-1</v>
      </c>
      <c r="F51">
        <f>Zbiorcza!AU122</f>
        <v>100.19849999999998</v>
      </c>
      <c r="G51">
        <f>Zbiorcza!AV122</f>
        <v>3.6333333333333333</v>
      </c>
      <c r="H51">
        <f>Zbiorcza!AW122</f>
        <v>4192.01</v>
      </c>
      <c r="I51">
        <f>Zbiorcza!AX122</f>
        <v>5859.6849999999995</v>
      </c>
    </row>
    <row r="52" spans="1:9" x14ac:dyDescent="0.25">
      <c r="A52" t="str">
        <f>Zbiorcza!AP123</f>
        <v>IV 2015</v>
      </c>
      <c r="B52">
        <f>Zbiorcza!AQ123</f>
        <v>5774.89</v>
      </c>
      <c r="C52">
        <f>Zbiorcza!AR123</f>
        <v>-1</v>
      </c>
      <c r="D52">
        <f>Zbiorcza!AS123</f>
        <v>-1</v>
      </c>
      <c r="E52">
        <f>Zbiorcza!AT123</f>
        <v>-1</v>
      </c>
      <c r="F52">
        <f>Zbiorcza!AU123</f>
        <v>99.797705999999977</v>
      </c>
      <c r="G52">
        <f>Zbiorcza!AV123</f>
        <v>3.4</v>
      </c>
      <c r="H52">
        <f>Zbiorcza!AW123</f>
        <v>4417.13</v>
      </c>
      <c r="I52">
        <f>Zbiorcza!AX123</f>
        <v>5884.9449999999997</v>
      </c>
    </row>
    <row r="53" spans="1:9" x14ac:dyDescent="0.25">
      <c r="A53" t="str">
        <f>Zbiorcza!AP124</f>
        <v>I 2016</v>
      </c>
      <c r="B53">
        <f>Zbiorcza!AQ124</f>
        <v>5647.085</v>
      </c>
      <c r="C53">
        <f>Zbiorcza!AR124</f>
        <v>-1</v>
      </c>
      <c r="D53">
        <f>Zbiorcza!AS124</f>
        <v>-1</v>
      </c>
      <c r="E53">
        <f>Zbiorcza!AT124</f>
        <v>-1</v>
      </c>
      <c r="F53">
        <f>Zbiorcza!AU124</f>
        <v>99.099122057999978</v>
      </c>
      <c r="G53">
        <f>Zbiorcza!AV124</f>
        <v>3.4333333333333336</v>
      </c>
      <c r="H53">
        <f>Zbiorcza!AW124</f>
        <v>4443.83</v>
      </c>
      <c r="I53">
        <f>Zbiorcza!AX124</f>
        <v>5774.89</v>
      </c>
    </row>
    <row r="54" spans="1:9" x14ac:dyDescent="0.25">
      <c r="A54" t="str">
        <f>Zbiorcza!AP125</f>
        <v>II 2016</v>
      </c>
      <c r="B54">
        <f>Zbiorcza!AQ125</f>
        <v>5562.55</v>
      </c>
      <c r="C54">
        <f>Zbiorcza!AR125</f>
        <v>-1</v>
      </c>
      <c r="D54">
        <f>Zbiorcza!AS125</f>
        <v>-1</v>
      </c>
      <c r="E54">
        <f>Zbiorcza!AT125</f>
        <v>-1</v>
      </c>
      <c r="F54">
        <f>Zbiorcza!AU125</f>
        <v>99.59461766828997</v>
      </c>
      <c r="G54">
        <f>Zbiorcza!AV125</f>
        <v>3.1999999999999997</v>
      </c>
      <c r="H54">
        <f>Zbiorcza!AW125</f>
        <v>4286.4399999999996</v>
      </c>
      <c r="I54">
        <f>Zbiorcza!AX125</f>
        <v>5647.085</v>
      </c>
    </row>
    <row r="55" spans="1:9" x14ac:dyDescent="0.25">
      <c r="A55" t="str">
        <f>Zbiorcza!AP126</f>
        <v>III 2016</v>
      </c>
      <c r="B55">
        <f>Zbiorcza!AQ126</f>
        <v>5497.8150000000005</v>
      </c>
      <c r="C55">
        <f>Zbiorcza!AR126</f>
        <v>-1</v>
      </c>
      <c r="D55">
        <f>Zbiorcza!AS126</f>
        <v>-1</v>
      </c>
      <c r="E55">
        <f>Zbiorcza!AT126</f>
        <v>-1</v>
      </c>
      <c r="F55">
        <f>Zbiorcza!AU126</f>
        <v>99.295833815285107</v>
      </c>
      <c r="G55">
        <f>Zbiorcza!AV126</f>
        <v>3.0666666666666664</v>
      </c>
      <c r="H55">
        <f>Zbiorcza!AW126</f>
        <v>4474.43</v>
      </c>
      <c r="I55">
        <f>Zbiorcza!AX126</f>
        <v>5562.55</v>
      </c>
    </row>
    <row r="56" spans="1:9" x14ac:dyDescent="0.25">
      <c r="A56" t="str">
        <f>Zbiorcza!AP127</f>
        <v>IV 2016</v>
      </c>
      <c r="B56">
        <f>Zbiorcza!AQ127</f>
        <v>5635.3149999999996</v>
      </c>
      <c r="C56">
        <f>Zbiorcza!AR127</f>
        <v>-1</v>
      </c>
      <c r="D56">
        <f>Zbiorcza!AS127</f>
        <v>-1</v>
      </c>
      <c r="E56">
        <f>Zbiorcza!AT127</f>
        <v>-1</v>
      </c>
      <c r="F56">
        <f>Zbiorcza!AU127</f>
        <v>99.792312984361516</v>
      </c>
      <c r="G56">
        <f>Zbiorcza!AV127</f>
        <v>2.7999999999999994</v>
      </c>
      <c r="H56">
        <f>Zbiorcza!AW127</f>
        <v>4616.2299999999996</v>
      </c>
      <c r="I56">
        <f>Zbiorcza!AX127</f>
        <v>5497.8150000000005</v>
      </c>
    </row>
    <row r="57" spans="1:9" x14ac:dyDescent="0.25">
      <c r="A57" t="str">
        <f>Zbiorcza!AP128</f>
        <v>I 2017</v>
      </c>
      <c r="B57">
        <f>Zbiorcza!AQ128</f>
        <v>5581.0150000000003</v>
      </c>
      <c r="C57">
        <f>Zbiorcza!AR128</f>
        <v>-1</v>
      </c>
      <c r="D57">
        <f>Zbiorcza!AS128</f>
        <v>-1</v>
      </c>
      <c r="E57">
        <f>Zbiorcza!AT128</f>
        <v>-1</v>
      </c>
      <c r="F57">
        <f>Zbiorcza!AU128</f>
        <v>101.0896130531582</v>
      </c>
      <c r="G57">
        <f>Zbiorcza!AV128</f>
        <v>2.7333333333333329</v>
      </c>
      <c r="H57">
        <f>Zbiorcza!AW128</f>
        <v>4648.6899999999996</v>
      </c>
      <c r="I57">
        <f>Zbiorcza!AX128</f>
        <v>5635.3149999999996</v>
      </c>
    </row>
    <row r="58" spans="1:9" x14ac:dyDescent="0.25">
      <c r="A58" t="str">
        <f>Zbiorcza!AP129</f>
        <v>II 2017</v>
      </c>
      <c r="B58">
        <f>Zbiorcza!AQ129</f>
        <v>5646.3795</v>
      </c>
      <c r="C58">
        <f>Zbiorcza!AR129</f>
        <v>-1</v>
      </c>
      <c r="D58">
        <f>Zbiorcza!AS129</f>
        <v>-1</v>
      </c>
      <c r="E58">
        <f>Zbiorcza!AT129</f>
        <v>-1</v>
      </c>
      <c r="F58">
        <f>Zbiorcza!AU129</f>
        <v>101.29179227926451</v>
      </c>
      <c r="G58">
        <f>Zbiorcza!AV129</f>
        <v>2.5666666666666669</v>
      </c>
      <c r="H58">
        <f>Zbiorcza!AW129</f>
        <v>4657.1099999999997</v>
      </c>
      <c r="I58">
        <f>Zbiorcza!AX129</f>
        <v>5581.0150000000003</v>
      </c>
    </row>
    <row r="59" spans="1:9" x14ac:dyDescent="0.25">
      <c r="A59" t="str">
        <f>Zbiorcza!AP130</f>
        <v>III 2017</v>
      </c>
      <c r="B59">
        <f>Zbiorcza!AQ130</f>
        <v>5734.7025000000003</v>
      </c>
      <c r="C59">
        <f>Zbiorcza!AR130</f>
        <v>-1</v>
      </c>
      <c r="D59">
        <f>Zbiorcza!AS130</f>
        <v>-1</v>
      </c>
      <c r="E59">
        <f>Zbiorcza!AT130</f>
        <v>-1</v>
      </c>
      <c r="F59">
        <f>Zbiorcza!AU130</f>
        <v>101.08920869470599</v>
      </c>
      <c r="G59">
        <f>Zbiorcza!AV130</f>
        <v>2.4333333333333336</v>
      </c>
      <c r="H59">
        <f>Zbiorcza!AW130</f>
        <v>4607.47</v>
      </c>
      <c r="I59">
        <f>Zbiorcza!AX130</f>
        <v>5646.3795</v>
      </c>
    </row>
    <row r="60" spans="1:9" x14ac:dyDescent="0.25">
      <c r="A60" t="str">
        <f>Zbiorcza!AP131</f>
        <v>IV 2017</v>
      </c>
      <c r="B60">
        <f>Zbiorcza!AQ131</f>
        <v>5591.6200000000008</v>
      </c>
      <c r="C60">
        <f>Zbiorcza!AR131</f>
        <v>-1</v>
      </c>
      <c r="D60">
        <f>Zbiorcza!AS131</f>
        <v>-1</v>
      </c>
      <c r="E60">
        <f>Zbiorcza!AT131</f>
        <v>-1</v>
      </c>
      <c r="F60">
        <f>Zbiorcza!AU131</f>
        <v>101.99901157295835</v>
      </c>
      <c r="G60">
        <f>Zbiorcza!AV131</f>
        <v>2.1666666666666665</v>
      </c>
      <c r="H60">
        <f>Zbiorcza!AW131</f>
        <v>4974.3599999999997</v>
      </c>
      <c r="I60">
        <f>Zbiorcza!AX131</f>
        <v>5734.7025000000003</v>
      </c>
    </row>
    <row r="61" spans="1:9" x14ac:dyDescent="0.25">
      <c r="A61" t="str">
        <f>Zbiorcza!AP132</f>
        <v>I 2018</v>
      </c>
      <c r="B61">
        <f>Zbiorcza!AQ132</f>
        <v>5696.3515000000007</v>
      </c>
      <c r="C61">
        <f>Zbiorcza!AR132</f>
        <v>-1</v>
      </c>
      <c r="D61">
        <f>Zbiorcza!AS132</f>
        <v>-1</v>
      </c>
      <c r="E61">
        <f>Zbiorcza!AT132</f>
        <v>-1</v>
      </c>
      <c r="F61">
        <f>Zbiorcza!AU132</f>
        <v>102.30500860767722</v>
      </c>
      <c r="G61">
        <f>Zbiorcza!AV132</f>
        <v>2.2000000000000002</v>
      </c>
      <c r="H61">
        <f>Zbiorcza!AW132</f>
        <v>4986.01</v>
      </c>
      <c r="I61">
        <f>Zbiorcza!AX132</f>
        <v>5591.6200000000008</v>
      </c>
    </row>
    <row r="62" spans="1:9" x14ac:dyDescent="0.25">
      <c r="A62" t="str">
        <f>Zbiorcza!AP133</f>
        <v>II 2018</v>
      </c>
      <c r="B62">
        <f>Zbiorcza!AQ133</f>
        <v>5798.6934999999994</v>
      </c>
      <c r="C62">
        <f>Zbiorcza!AR133</f>
        <v>-1</v>
      </c>
      <c r="D62">
        <f>Zbiorcza!AS133</f>
        <v>-1</v>
      </c>
      <c r="E62">
        <f>Zbiorcza!AT133</f>
        <v>-1</v>
      </c>
      <c r="F62">
        <f>Zbiorcza!AU133</f>
        <v>102.71422864210793</v>
      </c>
      <c r="G62">
        <f>Zbiorcza!AV133</f>
        <v>2.0666666666666669</v>
      </c>
      <c r="H62">
        <f>Zbiorcza!AW133</f>
        <v>4919.18</v>
      </c>
      <c r="I62">
        <f>Zbiorcza!AX133</f>
        <v>5696.3515000000007</v>
      </c>
    </row>
    <row r="63" spans="1:9" x14ac:dyDescent="0.25">
      <c r="A63" t="str">
        <f>Zbiorcza!AP134</f>
        <v>III 2018</v>
      </c>
      <c r="B63">
        <f>Zbiorcza!AQ134</f>
        <v>5369.6105000000007</v>
      </c>
      <c r="C63">
        <f>Zbiorcza!AR134</f>
        <v>-1</v>
      </c>
      <c r="D63">
        <f>Zbiorcza!AS134</f>
        <v>-1</v>
      </c>
      <c r="E63">
        <f>Zbiorcza!AT134</f>
        <v>-1</v>
      </c>
      <c r="F63">
        <f>Zbiorcza!AU134</f>
        <v>102.71422864210793</v>
      </c>
      <c r="G63">
        <f>Zbiorcza!AV134</f>
        <v>1.8999999999999997</v>
      </c>
      <c r="H63">
        <f>Zbiorcza!AW134</f>
        <v>4962.2</v>
      </c>
      <c r="I63">
        <f>Zbiorcza!AX134</f>
        <v>5798.6934999999994</v>
      </c>
    </row>
    <row r="64" spans="1:9" x14ac:dyDescent="0.25">
      <c r="A64" t="str">
        <f>Zbiorcza!AP135</f>
        <v>IV 2018</v>
      </c>
      <c r="B64">
        <f>Zbiorcza!AQ135</f>
        <v>5774.6350000000002</v>
      </c>
      <c r="C64">
        <f>Zbiorcza!AR135</f>
        <v>-1</v>
      </c>
      <c r="D64">
        <f>Zbiorcza!AS135</f>
        <v>-1</v>
      </c>
      <c r="E64">
        <f>Zbiorcza!AT135</f>
        <v>-1</v>
      </c>
      <c r="F64">
        <f>Zbiorcza!AU135</f>
        <v>102.91965709939214</v>
      </c>
      <c r="G64">
        <f>Zbiorcza!AV135</f>
        <v>1.8333333333333333</v>
      </c>
      <c r="H64">
        <f>Zbiorcza!AW135</f>
        <v>5245.92</v>
      </c>
      <c r="I64">
        <f>Zbiorcza!AX135</f>
        <v>5369.6105000000007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I1" sqref="I1:I1048576"/>
    </sheetView>
  </sheetViews>
  <sheetFormatPr defaultRowHeight="15" x14ac:dyDescent="0.25"/>
  <sheetData>
    <row r="1" spans="1:8" x14ac:dyDescent="0.25">
      <c r="A1" s="33" t="str">
        <f>Zbiorcza!AF140</f>
        <v>Kw</v>
      </c>
      <c r="B1" s="33" t="str">
        <f>Zbiorcza!AG140</f>
        <v>Cena</v>
      </c>
      <c r="C1" s="33" t="str">
        <f>Zbiorcza!AH140</f>
        <v>M_do35</v>
      </c>
      <c r="D1" s="33" t="str">
        <f>Zbiorcza!AI140</f>
        <v>M_35-50</v>
      </c>
      <c r="E1" s="33" t="str">
        <f>Zbiorcza!AJ140</f>
        <v>M_50-80</v>
      </c>
      <c r="F1" s="33" t="str">
        <f>Zbiorcza!AK140</f>
        <v>Wsk_cen</v>
      </c>
      <c r="G1" s="33" t="str">
        <f>Zbiorcza!AL140</f>
        <v>Bezr</v>
      </c>
      <c r="H1" s="33" t="str">
        <f>Zbiorcza!AM140</f>
        <v>W</v>
      </c>
    </row>
    <row r="2" spans="1:8" x14ac:dyDescent="0.25">
      <c r="A2" s="33" t="str">
        <f>Zbiorcza!AF141</f>
        <v>I 2015</v>
      </c>
      <c r="B2" s="33">
        <f>Zbiorcza!AG141</f>
        <v>6482.78</v>
      </c>
      <c r="C2" s="33">
        <f>Zbiorcza!AH141</f>
        <v>1</v>
      </c>
      <c r="D2" s="33">
        <f>Zbiorcza!AI141</f>
        <v>0</v>
      </c>
      <c r="E2" s="33">
        <f>Zbiorcza!AJ141</f>
        <v>0</v>
      </c>
      <c r="F2" s="33">
        <f>Zbiorcza!AK141</f>
        <v>100</v>
      </c>
      <c r="G2" s="33">
        <f>Zbiorcza!AL141</f>
        <v>5.2</v>
      </c>
      <c r="H2" s="33">
        <f>Zbiorcza!AM141</f>
        <v>4103.62</v>
      </c>
    </row>
    <row r="3" spans="1:8" x14ac:dyDescent="0.25">
      <c r="A3" s="33" t="str">
        <f>Zbiorcza!AF142</f>
        <v>II 2015</v>
      </c>
      <c r="B3" s="33">
        <f>Zbiorcza!AG142</f>
        <v>6394</v>
      </c>
      <c r="C3" s="33">
        <f>Zbiorcza!AH142</f>
        <v>1</v>
      </c>
      <c r="D3" s="33">
        <f>Zbiorcza!AI142</f>
        <v>0</v>
      </c>
      <c r="E3" s="33">
        <f>Zbiorcza!AJ142</f>
        <v>0</v>
      </c>
      <c r="F3" s="33">
        <f>Zbiorcza!AK142</f>
        <v>100.70000000000002</v>
      </c>
      <c r="G3" s="33">
        <f>Zbiorcza!AL142</f>
        <v>4.8999999999999995</v>
      </c>
      <c r="H3" s="33">
        <f>Zbiorcza!AM142</f>
        <v>3874.54</v>
      </c>
    </row>
    <row r="4" spans="1:8" x14ac:dyDescent="0.25">
      <c r="A4" s="33" t="str">
        <f>Zbiorcza!AF143</f>
        <v>III 2015</v>
      </c>
      <c r="B4" s="33">
        <f>Zbiorcza!AG143</f>
        <v>6485.21</v>
      </c>
      <c r="C4" s="33">
        <f>Zbiorcza!AH143</f>
        <v>1</v>
      </c>
      <c r="D4" s="33">
        <f>Zbiorcza!AI143</f>
        <v>0</v>
      </c>
      <c r="E4" s="33">
        <f>Zbiorcza!AJ143</f>
        <v>0</v>
      </c>
      <c r="F4" s="33">
        <f>Zbiorcza!AK143</f>
        <v>100.39790000000002</v>
      </c>
      <c r="G4" s="33">
        <f>Zbiorcza!AL143</f>
        <v>4.6333333333333337</v>
      </c>
      <c r="H4" s="33">
        <f>Zbiorcza!AM143</f>
        <v>3938.3</v>
      </c>
    </row>
    <row r="5" spans="1:8" x14ac:dyDescent="0.25">
      <c r="A5" s="33" t="str">
        <f>Zbiorcza!AF144</f>
        <v>IV 2015</v>
      </c>
      <c r="B5" s="33">
        <f>Zbiorcza!AG144</f>
        <v>6555.2979999999998</v>
      </c>
      <c r="C5" s="33">
        <f>Zbiorcza!AH144</f>
        <v>1</v>
      </c>
      <c r="D5" s="33">
        <f>Zbiorcza!AI144</f>
        <v>0</v>
      </c>
      <c r="E5" s="33">
        <f>Zbiorcza!AJ144</f>
        <v>0</v>
      </c>
      <c r="F5" s="33">
        <f>Zbiorcza!AK144</f>
        <v>100.09670630000002</v>
      </c>
      <c r="G5" s="33">
        <f>Zbiorcza!AL144</f>
        <v>4.4666666666666668</v>
      </c>
      <c r="H5" s="33">
        <f>Zbiorcza!AM144</f>
        <v>4160.5</v>
      </c>
    </row>
    <row r="6" spans="1:8" x14ac:dyDescent="0.25">
      <c r="A6" s="33" t="str">
        <f>Zbiorcza!AF145</f>
        <v>I 2016</v>
      </c>
      <c r="B6" s="33">
        <f>Zbiorcza!AG145</f>
        <v>6697.57</v>
      </c>
      <c r="C6" s="33">
        <f>Zbiorcza!AH145</f>
        <v>1</v>
      </c>
      <c r="D6" s="33">
        <f>Zbiorcza!AI145</f>
        <v>0</v>
      </c>
      <c r="E6" s="33">
        <f>Zbiorcza!AJ145</f>
        <v>0</v>
      </c>
      <c r="F6" s="33">
        <f>Zbiorcza!AK145</f>
        <v>99.596222768500027</v>
      </c>
      <c r="G6" s="33">
        <f>Zbiorcza!AL145</f>
        <v>4.4666666666666668</v>
      </c>
      <c r="H6" s="33">
        <f>Zbiorcza!AM145</f>
        <v>4272.7700000000004</v>
      </c>
    </row>
    <row r="7" spans="1:8" x14ac:dyDescent="0.25">
      <c r="A7" s="33" t="str">
        <f>Zbiorcza!AF146</f>
        <v>II 2016</v>
      </c>
      <c r="B7" s="33">
        <f>Zbiorcza!AG146</f>
        <v>6804.41</v>
      </c>
      <c r="C7" s="33">
        <f>Zbiorcza!AH146</f>
        <v>1</v>
      </c>
      <c r="D7" s="33">
        <f>Zbiorcza!AI146</f>
        <v>0</v>
      </c>
      <c r="E7" s="33">
        <f>Zbiorcza!AJ146</f>
        <v>0</v>
      </c>
      <c r="F7" s="33">
        <f>Zbiorcza!AK146</f>
        <v>100.09420388234251</v>
      </c>
      <c r="G7" s="33">
        <f>Zbiorcza!AL146</f>
        <v>4.2333333333333334</v>
      </c>
      <c r="H7" s="33">
        <f>Zbiorcza!AM146</f>
        <v>4083.58</v>
      </c>
    </row>
    <row r="8" spans="1:8" x14ac:dyDescent="0.25">
      <c r="A8" s="33" t="str">
        <f>Zbiorcza!AF147</f>
        <v>III 2016</v>
      </c>
      <c r="B8" s="33">
        <f>Zbiorcza!AG147</f>
        <v>6982.3239999999996</v>
      </c>
      <c r="C8" s="33">
        <f>Zbiorcza!AH147</f>
        <v>1</v>
      </c>
      <c r="D8" s="33">
        <f>Zbiorcza!AI147</f>
        <v>0</v>
      </c>
      <c r="E8" s="33">
        <f>Zbiorcza!AJ147</f>
        <v>0</v>
      </c>
      <c r="F8" s="33">
        <f>Zbiorcza!AK147</f>
        <v>99.693827066813142</v>
      </c>
      <c r="G8" s="33">
        <f>Zbiorcza!AL147</f>
        <v>3.8666666666666667</v>
      </c>
      <c r="H8" s="33">
        <f>Zbiorcza!AM147</f>
        <v>4145.74</v>
      </c>
    </row>
    <row r="9" spans="1:8" x14ac:dyDescent="0.25">
      <c r="A9" s="33" t="str">
        <f>Zbiorcza!AF148</f>
        <v>IV 2016</v>
      </c>
      <c r="B9" s="33">
        <f>Zbiorcza!AG148</f>
        <v>6940.39</v>
      </c>
      <c r="C9" s="33">
        <f>Zbiorcza!AH148</f>
        <v>1</v>
      </c>
      <c r="D9" s="33">
        <f>Zbiorcza!AI148</f>
        <v>0</v>
      </c>
      <c r="E9" s="33">
        <f>Zbiorcza!AJ148</f>
        <v>0</v>
      </c>
      <c r="F9" s="33">
        <f>Zbiorcza!AK148</f>
        <v>100.39168385628085</v>
      </c>
      <c r="G9" s="33">
        <f>Zbiorcza!AL148</f>
        <v>3.6333333333333333</v>
      </c>
      <c r="H9" s="33">
        <f>Zbiorcza!AM148</f>
        <v>4212.93</v>
      </c>
    </row>
    <row r="10" spans="1:8" x14ac:dyDescent="0.25">
      <c r="A10" s="33" t="str">
        <f>Zbiorcza!AF149</f>
        <v>I 2017</v>
      </c>
      <c r="B10" s="33">
        <f>Zbiorcza!AG149</f>
        <v>7185.93</v>
      </c>
      <c r="C10" s="33">
        <f>Zbiorcza!AH149</f>
        <v>1</v>
      </c>
      <c r="D10" s="33">
        <f>Zbiorcza!AI149</f>
        <v>0</v>
      </c>
      <c r="E10" s="33">
        <f>Zbiorcza!AJ149</f>
        <v>0</v>
      </c>
      <c r="F10" s="33">
        <f>Zbiorcza!AK149</f>
        <v>101.59638406255623</v>
      </c>
      <c r="G10" s="33">
        <f>Zbiorcza!AL149</f>
        <v>3.4666666666666668</v>
      </c>
      <c r="H10" s="33">
        <f>Zbiorcza!AM149</f>
        <v>4486.54</v>
      </c>
    </row>
    <row r="11" spans="1:8" x14ac:dyDescent="0.25">
      <c r="A11" s="33" t="str">
        <f>Zbiorcza!AF150</f>
        <v>II 2017</v>
      </c>
      <c r="B11" s="33">
        <f>Zbiorcza!AG150</f>
        <v>7336.36</v>
      </c>
      <c r="C11" s="33">
        <f>Zbiorcza!AH150</f>
        <v>1</v>
      </c>
      <c r="D11" s="33">
        <f>Zbiorcza!AI150</f>
        <v>0</v>
      </c>
      <c r="E11" s="33">
        <f>Zbiorcza!AJ150</f>
        <v>0</v>
      </c>
      <c r="F11" s="33">
        <f>Zbiorcza!AK150</f>
        <v>101.79957683068133</v>
      </c>
      <c r="G11" s="33">
        <f>Zbiorcza!AL150</f>
        <v>3.1999999999999997</v>
      </c>
      <c r="H11" s="33">
        <f>Zbiorcza!AM150</f>
        <v>4324.72</v>
      </c>
    </row>
    <row r="12" spans="1:8" x14ac:dyDescent="0.25">
      <c r="A12" s="33" t="str">
        <f>Zbiorcza!AF151</f>
        <v>III 2017</v>
      </c>
      <c r="B12" s="33">
        <f>Zbiorcza!AG151</f>
        <v>7179.27</v>
      </c>
      <c r="C12" s="33">
        <f>Zbiorcza!AH151</f>
        <v>1</v>
      </c>
      <c r="D12" s="33">
        <f>Zbiorcza!AI151</f>
        <v>0</v>
      </c>
      <c r="E12" s="33">
        <f>Zbiorcza!AJ151</f>
        <v>0</v>
      </c>
      <c r="F12" s="33">
        <f>Zbiorcza!AK151</f>
        <v>101.69777725385066</v>
      </c>
      <c r="G12" s="33">
        <f>Zbiorcza!AL151</f>
        <v>3</v>
      </c>
      <c r="H12" s="33">
        <f>Zbiorcza!AM151</f>
        <v>4415.87</v>
      </c>
    </row>
    <row r="13" spans="1:8" x14ac:dyDescent="0.25">
      <c r="A13" s="33" t="str">
        <f>Zbiorcza!AF152</f>
        <v>IV 2017</v>
      </c>
      <c r="B13" s="33">
        <f>Zbiorcza!AG152</f>
        <v>6811.24</v>
      </c>
      <c r="C13" s="33">
        <f>Zbiorcza!AH152</f>
        <v>1</v>
      </c>
      <c r="D13" s="33">
        <f>Zbiorcza!AI152</f>
        <v>0</v>
      </c>
      <c r="E13" s="33">
        <f>Zbiorcza!AJ152</f>
        <v>0</v>
      </c>
      <c r="F13" s="33">
        <f>Zbiorcza!AK152</f>
        <v>103.01984835815071</v>
      </c>
      <c r="G13" s="33">
        <f>Zbiorcza!AL152</f>
        <v>2.7666666666666671</v>
      </c>
      <c r="H13" s="33">
        <f>Zbiorcza!AM152</f>
        <v>4590.72</v>
      </c>
    </row>
    <row r="14" spans="1:8" x14ac:dyDescent="0.25">
      <c r="A14" s="33" t="str">
        <f>Zbiorcza!AF153</f>
        <v>I 2018</v>
      </c>
      <c r="B14" s="33">
        <f>Zbiorcza!AG153</f>
        <v>7065.67</v>
      </c>
      <c r="C14" s="33">
        <f>Zbiorcza!AH153</f>
        <v>1</v>
      </c>
      <c r="D14" s="33">
        <f>Zbiorcza!AI153</f>
        <v>0</v>
      </c>
      <c r="E14" s="33">
        <f>Zbiorcza!AJ153</f>
        <v>0</v>
      </c>
      <c r="F14" s="33">
        <f>Zbiorcza!AK153</f>
        <v>103.63796744829962</v>
      </c>
      <c r="G14" s="33">
        <f>Zbiorcza!AL153</f>
        <v>2.7000000000000006</v>
      </c>
      <c r="H14" s="33">
        <f>Zbiorcza!AM153</f>
        <v>4796.37</v>
      </c>
    </row>
    <row r="15" spans="1:8" x14ac:dyDescent="0.25">
      <c r="A15" s="33" t="str">
        <f>Zbiorcza!AF154</f>
        <v>II 2018</v>
      </c>
      <c r="B15" s="33">
        <f>Zbiorcza!AG154</f>
        <v>7394.17</v>
      </c>
      <c r="C15" s="33">
        <f>Zbiorcza!AH154</f>
        <v>1</v>
      </c>
      <c r="D15" s="33">
        <f>Zbiorcza!AI154</f>
        <v>0</v>
      </c>
      <c r="E15" s="33">
        <f>Zbiorcza!AJ154</f>
        <v>0</v>
      </c>
      <c r="F15" s="33">
        <f>Zbiorcza!AK154</f>
        <v>104.25979525298942</v>
      </c>
      <c r="G15" s="33">
        <f>Zbiorcza!AL154</f>
        <v>2.5666666666666669</v>
      </c>
      <c r="H15" s="33">
        <f>Zbiorcza!AM154</f>
        <v>4638.08</v>
      </c>
    </row>
    <row r="16" spans="1:8" x14ac:dyDescent="0.25">
      <c r="A16" s="33" t="str">
        <f>Zbiorcza!AF155</f>
        <v>III 2018</v>
      </c>
      <c r="B16" s="33">
        <f>Zbiorcza!AG155</f>
        <v>7000.8</v>
      </c>
      <c r="C16" s="33">
        <f>Zbiorcza!AH155</f>
        <v>1</v>
      </c>
      <c r="D16" s="33">
        <f>Zbiorcza!AI155</f>
        <v>0</v>
      </c>
      <c r="E16" s="33">
        <f>Zbiorcza!AJ155</f>
        <v>0</v>
      </c>
      <c r="F16" s="33">
        <f>Zbiorcza!AK155</f>
        <v>104.46831484349539</v>
      </c>
      <c r="G16" s="33">
        <f>Zbiorcza!AL155</f>
        <v>2.4666666666666668</v>
      </c>
      <c r="H16" s="33">
        <f>Zbiorcza!AM155</f>
        <v>4707.1099999999997</v>
      </c>
    </row>
    <row r="17" spans="1:8" x14ac:dyDescent="0.25">
      <c r="A17" s="33" t="str">
        <f>Zbiorcza!AF156</f>
        <v>IV 2018</v>
      </c>
      <c r="B17" s="33">
        <f>Zbiorcza!AG156</f>
        <v>7310.16</v>
      </c>
      <c r="C17" s="33">
        <f>Zbiorcza!AH156</f>
        <v>1</v>
      </c>
      <c r="D17" s="33">
        <f>Zbiorcza!AI156</f>
        <v>0</v>
      </c>
      <c r="E17" s="33">
        <f>Zbiorcza!AJ156</f>
        <v>0</v>
      </c>
      <c r="F17" s="33">
        <f>Zbiorcza!AK156</f>
        <v>104.99065641771286</v>
      </c>
      <c r="G17" s="33">
        <f>Zbiorcza!AL156</f>
        <v>2.4</v>
      </c>
      <c r="H17" s="33">
        <f>Zbiorcza!AM156</f>
        <v>4901.28</v>
      </c>
    </row>
    <row r="18" spans="1:8" x14ac:dyDescent="0.25">
      <c r="A18" s="33" t="str">
        <f>Zbiorcza!AF157</f>
        <v>I 2015</v>
      </c>
      <c r="B18" s="33">
        <f>Zbiorcza!AG157</f>
        <v>6146.4650000000001</v>
      </c>
      <c r="C18" s="33">
        <f>Zbiorcza!AH157</f>
        <v>0</v>
      </c>
      <c r="D18" s="33">
        <f>Zbiorcza!AI157</f>
        <v>1</v>
      </c>
      <c r="E18" s="33">
        <f>Zbiorcza!AJ157</f>
        <v>0</v>
      </c>
      <c r="F18" s="33">
        <f>Zbiorcza!AK157</f>
        <v>100</v>
      </c>
      <c r="G18" s="33">
        <f>Zbiorcza!AL157</f>
        <v>5.2</v>
      </c>
      <c r="H18" s="33">
        <f>Zbiorcza!AM157</f>
        <v>4103.62</v>
      </c>
    </row>
    <row r="19" spans="1:8" x14ac:dyDescent="0.25">
      <c r="A19" s="33" t="str">
        <f>Zbiorcza!AF158</f>
        <v>II 2015</v>
      </c>
      <c r="B19" s="33">
        <f>Zbiorcza!AG158</f>
        <v>6045</v>
      </c>
      <c r="C19" s="33">
        <f>Zbiorcza!AH158</f>
        <v>0</v>
      </c>
      <c r="D19" s="33">
        <f>Zbiorcza!AI158</f>
        <v>1</v>
      </c>
      <c r="E19" s="33">
        <f>Zbiorcza!AJ158</f>
        <v>0</v>
      </c>
      <c r="F19" s="33">
        <f>Zbiorcza!AK158</f>
        <v>100.70000000000002</v>
      </c>
      <c r="G19" s="33">
        <f>Zbiorcza!AL158</f>
        <v>4.8999999999999995</v>
      </c>
      <c r="H19" s="33">
        <f>Zbiorcza!AM158</f>
        <v>3874.54</v>
      </c>
    </row>
    <row r="20" spans="1:8" x14ac:dyDescent="0.25">
      <c r="A20" s="33" t="str">
        <f>Zbiorcza!AF159</f>
        <v>III 2015</v>
      </c>
      <c r="B20" s="33">
        <f>Zbiorcza!AG159</f>
        <v>6072.78</v>
      </c>
      <c r="C20" s="33">
        <f>Zbiorcza!AH159</f>
        <v>0</v>
      </c>
      <c r="D20" s="33">
        <f>Zbiorcza!AI159</f>
        <v>1</v>
      </c>
      <c r="E20" s="33">
        <f>Zbiorcza!AJ159</f>
        <v>0</v>
      </c>
      <c r="F20" s="33">
        <f>Zbiorcza!AK159</f>
        <v>100.39790000000002</v>
      </c>
      <c r="G20" s="33">
        <f>Zbiorcza!AL159</f>
        <v>4.6333333333333337</v>
      </c>
      <c r="H20" s="33">
        <f>Zbiorcza!AM159</f>
        <v>3938.3</v>
      </c>
    </row>
    <row r="21" spans="1:8" x14ac:dyDescent="0.25">
      <c r="A21" s="33" t="str">
        <f>Zbiorcza!AF160</f>
        <v>IV 2015</v>
      </c>
      <c r="B21" s="33">
        <f>Zbiorcza!AG160</f>
        <v>6300.2039999999997</v>
      </c>
      <c r="C21" s="33">
        <f>Zbiorcza!AH160</f>
        <v>0</v>
      </c>
      <c r="D21" s="33">
        <f>Zbiorcza!AI160</f>
        <v>1</v>
      </c>
      <c r="E21" s="33">
        <f>Zbiorcza!AJ160</f>
        <v>0</v>
      </c>
      <c r="F21" s="33">
        <f>Zbiorcza!AK160</f>
        <v>100.09670630000002</v>
      </c>
      <c r="G21" s="33">
        <f>Zbiorcza!AL160</f>
        <v>4.4666666666666668</v>
      </c>
      <c r="H21" s="33">
        <f>Zbiorcza!AM160</f>
        <v>4160.5</v>
      </c>
    </row>
    <row r="22" spans="1:8" x14ac:dyDescent="0.25">
      <c r="A22" s="33" t="str">
        <f>Zbiorcza!AF161</f>
        <v>I 2016</v>
      </c>
      <c r="B22" s="33">
        <f>Zbiorcza!AG161</f>
        <v>6328.2150000000001</v>
      </c>
      <c r="C22" s="33">
        <f>Zbiorcza!AH161</f>
        <v>0</v>
      </c>
      <c r="D22" s="33">
        <f>Zbiorcza!AI161</f>
        <v>1</v>
      </c>
      <c r="E22" s="33">
        <f>Zbiorcza!AJ161</f>
        <v>0</v>
      </c>
      <c r="F22" s="33">
        <f>Zbiorcza!AK161</f>
        <v>99.596222768500027</v>
      </c>
      <c r="G22" s="33">
        <f>Zbiorcza!AL161</f>
        <v>4.4666666666666668</v>
      </c>
      <c r="H22" s="33">
        <f>Zbiorcza!AM161</f>
        <v>4272.7700000000004</v>
      </c>
    </row>
    <row r="23" spans="1:8" x14ac:dyDescent="0.25">
      <c r="A23" s="33" t="str">
        <f>Zbiorcza!AF162</f>
        <v>II 2016</v>
      </c>
      <c r="B23" s="33">
        <f>Zbiorcza!AG162</f>
        <v>6493.9949999999999</v>
      </c>
      <c r="C23" s="33">
        <f>Zbiorcza!AH162</f>
        <v>0</v>
      </c>
      <c r="D23" s="33">
        <f>Zbiorcza!AI162</f>
        <v>1</v>
      </c>
      <c r="E23" s="33">
        <f>Zbiorcza!AJ162</f>
        <v>0</v>
      </c>
      <c r="F23" s="33">
        <f>Zbiorcza!AK162</f>
        <v>100.09420388234251</v>
      </c>
      <c r="G23" s="33">
        <f>Zbiorcza!AL162</f>
        <v>4.2333333333333334</v>
      </c>
      <c r="H23" s="33">
        <f>Zbiorcza!AM162</f>
        <v>4083.58</v>
      </c>
    </row>
    <row r="24" spans="1:8" x14ac:dyDescent="0.25">
      <c r="A24" s="33" t="str">
        <f>Zbiorcza!AF163</f>
        <v>III 2016</v>
      </c>
      <c r="B24" s="33">
        <f>Zbiorcza!AG163</f>
        <v>6516.3519999999999</v>
      </c>
      <c r="C24" s="33">
        <f>Zbiorcza!AH163</f>
        <v>0</v>
      </c>
      <c r="D24" s="33">
        <f>Zbiorcza!AI163</f>
        <v>1</v>
      </c>
      <c r="E24" s="33">
        <f>Zbiorcza!AJ163</f>
        <v>0</v>
      </c>
      <c r="F24" s="33">
        <f>Zbiorcza!AK163</f>
        <v>99.693827066813142</v>
      </c>
      <c r="G24" s="33">
        <f>Zbiorcza!AL163</f>
        <v>3.8666666666666667</v>
      </c>
      <c r="H24" s="33">
        <f>Zbiorcza!AM163</f>
        <v>4145.74</v>
      </c>
    </row>
    <row r="25" spans="1:8" x14ac:dyDescent="0.25">
      <c r="A25" s="33" t="str">
        <f>Zbiorcza!AF164</f>
        <v>IV 2016</v>
      </c>
      <c r="B25" s="33">
        <f>Zbiorcza!AG164</f>
        <v>6518.6350000000002</v>
      </c>
      <c r="C25" s="33">
        <f>Zbiorcza!AH164</f>
        <v>0</v>
      </c>
      <c r="D25" s="33">
        <f>Zbiorcza!AI164</f>
        <v>1</v>
      </c>
      <c r="E25" s="33">
        <f>Zbiorcza!AJ164</f>
        <v>0</v>
      </c>
      <c r="F25" s="33">
        <f>Zbiorcza!AK164</f>
        <v>100.39168385628085</v>
      </c>
      <c r="G25" s="33">
        <f>Zbiorcza!AL164</f>
        <v>3.6333333333333333</v>
      </c>
      <c r="H25" s="33">
        <f>Zbiorcza!AM164</f>
        <v>4212.93</v>
      </c>
    </row>
    <row r="26" spans="1:8" x14ac:dyDescent="0.25">
      <c r="A26" s="33" t="str">
        <f>Zbiorcza!AF165</f>
        <v>I 2017</v>
      </c>
      <c r="B26" s="33">
        <f>Zbiorcza!AG165</f>
        <v>6327.2999999999993</v>
      </c>
      <c r="C26" s="33">
        <f>Zbiorcza!AH165</f>
        <v>0</v>
      </c>
      <c r="D26" s="33">
        <f>Zbiorcza!AI165</f>
        <v>1</v>
      </c>
      <c r="E26" s="33">
        <f>Zbiorcza!AJ165</f>
        <v>0</v>
      </c>
      <c r="F26" s="33">
        <f>Zbiorcza!AK165</f>
        <v>101.59638406255623</v>
      </c>
      <c r="G26" s="33">
        <f>Zbiorcza!AL165</f>
        <v>3.4666666666666668</v>
      </c>
      <c r="H26" s="33">
        <f>Zbiorcza!AM165</f>
        <v>4486.54</v>
      </c>
    </row>
    <row r="27" spans="1:8" x14ac:dyDescent="0.25">
      <c r="A27" s="33" t="str">
        <f>Zbiorcza!AF166</f>
        <v>II 2017</v>
      </c>
      <c r="B27" s="33">
        <f>Zbiorcza!AG166</f>
        <v>6118.22</v>
      </c>
      <c r="C27" s="33">
        <f>Zbiorcza!AH166</f>
        <v>0</v>
      </c>
      <c r="D27" s="33">
        <f>Zbiorcza!AI166</f>
        <v>1</v>
      </c>
      <c r="E27" s="33">
        <f>Zbiorcza!AJ166</f>
        <v>0</v>
      </c>
      <c r="F27" s="33">
        <f>Zbiorcza!AK166</f>
        <v>101.79957683068133</v>
      </c>
      <c r="G27" s="33">
        <f>Zbiorcza!AL166</f>
        <v>3.1999999999999997</v>
      </c>
      <c r="H27" s="33">
        <f>Zbiorcza!AM166</f>
        <v>4324.72</v>
      </c>
    </row>
    <row r="28" spans="1:8" x14ac:dyDescent="0.25">
      <c r="A28" s="33" t="str">
        <f>Zbiorcza!AF167</f>
        <v>III 2017</v>
      </c>
      <c r="B28" s="33">
        <f>Zbiorcza!AG167</f>
        <v>6242.76</v>
      </c>
      <c r="C28" s="33">
        <f>Zbiorcza!AH167</f>
        <v>0</v>
      </c>
      <c r="D28" s="33">
        <f>Zbiorcza!AI167</f>
        <v>1</v>
      </c>
      <c r="E28" s="33">
        <f>Zbiorcza!AJ167</f>
        <v>0</v>
      </c>
      <c r="F28" s="33">
        <f>Zbiorcza!AK167</f>
        <v>101.69777725385066</v>
      </c>
      <c r="G28" s="33">
        <f>Zbiorcza!AL167</f>
        <v>3</v>
      </c>
      <c r="H28" s="33">
        <f>Zbiorcza!AM167</f>
        <v>4415.87</v>
      </c>
    </row>
    <row r="29" spans="1:8" x14ac:dyDescent="0.25">
      <c r="A29" s="33" t="str">
        <f>Zbiorcza!AF168</f>
        <v>IV 2017</v>
      </c>
      <c r="B29" s="33">
        <f>Zbiorcza!AG168</f>
        <v>6582.4050000000007</v>
      </c>
      <c r="C29" s="33">
        <f>Zbiorcza!AH168</f>
        <v>0</v>
      </c>
      <c r="D29" s="33">
        <f>Zbiorcza!AI168</f>
        <v>1</v>
      </c>
      <c r="E29" s="33">
        <f>Zbiorcza!AJ168</f>
        <v>0</v>
      </c>
      <c r="F29" s="33">
        <f>Zbiorcza!AK168</f>
        <v>103.01984835815071</v>
      </c>
      <c r="G29" s="33">
        <f>Zbiorcza!AL168</f>
        <v>2.7666666666666671</v>
      </c>
      <c r="H29" s="33">
        <f>Zbiorcza!AM168</f>
        <v>4590.72</v>
      </c>
    </row>
    <row r="30" spans="1:8" x14ac:dyDescent="0.25">
      <c r="A30" s="33" t="str">
        <f>Zbiorcza!AF169</f>
        <v>I 2018</v>
      </c>
      <c r="B30" s="33">
        <f>Zbiorcza!AG169</f>
        <v>6598.3549999999996</v>
      </c>
      <c r="C30" s="33">
        <f>Zbiorcza!AH169</f>
        <v>0</v>
      </c>
      <c r="D30" s="33">
        <f>Zbiorcza!AI169</f>
        <v>1</v>
      </c>
      <c r="E30" s="33">
        <f>Zbiorcza!AJ169</f>
        <v>0</v>
      </c>
      <c r="F30" s="33">
        <f>Zbiorcza!AK169</f>
        <v>103.63796744829962</v>
      </c>
      <c r="G30" s="33">
        <f>Zbiorcza!AL169</f>
        <v>2.7000000000000006</v>
      </c>
      <c r="H30" s="33">
        <f>Zbiorcza!AM169</f>
        <v>4796.37</v>
      </c>
    </row>
    <row r="31" spans="1:8" x14ac:dyDescent="0.25">
      <c r="A31" s="33" t="str">
        <f>Zbiorcza!AF170</f>
        <v>II 2018</v>
      </c>
      <c r="B31" s="33">
        <f>Zbiorcza!AG170</f>
        <v>6516.57</v>
      </c>
      <c r="C31" s="33">
        <f>Zbiorcza!AH170</f>
        <v>0</v>
      </c>
      <c r="D31" s="33">
        <f>Zbiorcza!AI170</f>
        <v>1</v>
      </c>
      <c r="E31" s="33">
        <f>Zbiorcza!AJ170</f>
        <v>0</v>
      </c>
      <c r="F31" s="33">
        <f>Zbiorcza!AK170</f>
        <v>104.25979525298942</v>
      </c>
      <c r="G31" s="33">
        <f>Zbiorcza!AL170</f>
        <v>2.5666666666666669</v>
      </c>
      <c r="H31" s="33">
        <f>Zbiorcza!AM170</f>
        <v>4638.08</v>
      </c>
    </row>
    <row r="32" spans="1:8" x14ac:dyDescent="0.25">
      <c r="A32" s="33" t="str">
        <f>Zbiorcza!AF171</f>
        <v>III 2018</v>
      </c>
      <c r="B32" s="33">
        <f>Zbiorcza!AG171</f>
        <v>6503.83</v>
      </c>
      <c r="C32" s="33">
        <f>Zbiorcza!AH171</f>
        <v>0</v>
      </c>
      <c r="D32" s="33">
        <f>Zbiorcza!AI171</f>
        <v>1</v>
      </c>
      <c r="E32" s="33">
        <f>Zbiorcza!AJ171</f>
        <v>0</v>
      </c>
      <c r="F32" s="33">
        <f>Zbiorcza!AK171</f>
        <v>104.46831484349539</v>
      </c>
      <c r="G32" s="33">
        <f>Zbiorcza!AL171</f>
        <v>2.4666666666666668</v>
      </c>
      <c r="H32" s="33">
        <f>Zbiorcza!AM171</f>
        <v>4707.1099999999997</v>
      </c>
    </row>
    <row r="33" spans="1:8" x14ac:dyDescent="0.25">
      <c r="A33" s="33" t="str">
        <f>Zbiorcza!AF172</f>
        <v>IV 2018</v>
      </c>
      <c r="B33" s="33">
        <f>Zbiorcza!AG172</f>
        <v>6769.6</v>
      </c>
      <c r="C33" s="33">
        <f>Zbiorcza!AH172</f>
        <v>0</v>
      </c>
      <c r="D33" s="33">
        <f>Zbiorcza!AI172</f>
        <v>1</v>
      </c>
      <c r="E33" s="33">
        <f>Zbiorcza!AJ172</f>
        <v>0</v>
      </c>
      <c r="F33" s="33">
        <f>Zbiorcza!AK172</f>
        <v>104.99065641771286</v>
      </c>
      <c r="G33" s="33">
        <f>Zbiorcza!AL172</f>
        <v>2.4</v>
      </c>
      <c r="H33" s="33">
        <f>Zbiorcza!AM172</f>
        <v>4901.28</v>
      </c>
    </row>
    <row r="34" spans="1:8" x14ac:dyDescent="0.25">
      <c r="A34" s="33" t="str">
        <f>Zbiorcza!AF173</f>
        <v>I 2015</v>
      </c>
      <c r="B34" s="33">
        <f>Zbiorcza!AG173</f>
        <v>6227.6966666666667</v>
      </c>
      <c r="C34" s="33">
        <f>Zbiorcza!AH173</f>
        <v>0</v>
      </c>
      <c r="D34" s="33">
        <f>Zbiorcza!AI173</f>
        <v>0</v>
      </c>
      <c r="E34" s="33">
        <f>Zbiorcza!AJ173</f>
        <v>1</v>
      </c>
      <c r="F34" s="33">
        <f>Zbiorcza!AK173</f>
        <v>100</v>
      </c>
      <c r="G34" s="33">
        <f>Zbiorcza!AL173</f>
        <v>5.2</v>
      </c>
      <c r="H34" s="33">
        <f>Zbiorcza!AM173</f>
        <v>4103.62</v>
      </c>
    </row>
    <row r="35" spans="1:8" x14ac:dyDescent="0.25">
      <c r="A35" s="33" t="str">
        <f>Zbiorcza!AF174</f>
        <v>II 2015</v>
      </c>
      <c r="B35" s="33">
        <f>Zbiorcza!AG174</f>
        <v>6284</v>
      </c>
      <c r="C35" s="33">
        <f>Zbiorcza!AH174</f>
        <v>0</v>
      </c>
      <c r="D35" s="33">
        <f>Zbiorcza!AI174</f>
        <v>0</v>
      </c>
      <c r="E35" s="33">
        <f>Zbiorcza!AJ174</f>
        <v>1</v>
      </c>
      <c r="F35" s="33">
        <f>Zbiorcza!AK174</f>
        <v>100.70000000000002</v>
      </c>
      <c r="G35" s="33">
        <f>Zbiorcza!AL174</f>
        <v>4.8999999999999995</v>
      </c>
      <c r="H35" s="33">
        <f>Zbiorcza!AM174</f>
        <v>3874.54</v>
      </c>
    </row>
    <row r="36" spans="1:8" x14ac:dyDescent="0.25">
      <c r="A36" s="33" t="str">
        <f>Zbiorcza!AF175</f>
        <v>III 2015</v>
      </c>
      <c r="B36" s="33">
        <f>Zbiorcza!AG175</f>
        <v>6228.6466666666674</v>
      </c>
      <c r="C36" s="33">
        <f>Zbiorcza!AH175</f>
        <v>0</v>
      </c>
      <c r="D36" s="33">
        <f>Zbiorcza!AI175</f>
        <v>0</v>
      </c>
      <c r="E36" s="33">
        <f>Zbiorcza!AJ175</f>
        <v>1</v>
      </c>
      <c r="F36" s="33">
        <f>Zbiorcza!AK175</f>
        <v>100.39790000000002</v>
      </c>
      <c r="G36" s="33">
        <f>Zbiorcza!AL175</f>
        <v>4.6333333333333337</v>
      </c>
      <c r="H36" s="33">
        <f>Zbiorcza!AM175</f>
        <v>3938.3</v>
      </c>
    </row>
    <row r="37" spans="1:8" x14ac:dyDescent="0.25">
      <c r="A37" s="33" t="str">
        <f>Zbiorcza!AF176</f>
        <v>IV 2015</v>
      </c>
      <c r="B37" s="33">
        <f>Zbiorcza!AG176</f>
        <v>6379.0406666666668</v>
      </c>
      <c r="C37" s="33">
        <f>Zbiorcza!AH176</f>
        <v>0</v>
      </c>
      <c r="D37" s="33">
        <f>Zbiorcza!AI176</f>
        <v>0</v>
      </c>
      <c r="E37" s="33">
        <f>Zbiorcza!AJ176</f>
        <v>1</v>
      </c>
      <c r="F37" s="33">
        <f>Zbiorcza!AK176</f>
        <v>100.09670630000002</v>
      </c>
      <c r="G37" s="33">
        <f>Zbiorcza!AL176</f>
        <v>4.4666666666666668</v>
      </c>
      <c r="H37" s="33">
        <f>Zbiorcza!AM176</f>
        <v>4160.5</v>
      </c>
    </row>
    <row r="38" spans="1:8" x14ac:dyDescent="0.25">
      <c r="A38" s="33" t="str">
        <f>Zbiorcza!AF177</f>
        <v>I 2016</v>
      </c>
      <c r="B38" s="33">
        <f>Zbiorcza!AG177</f>
        <v>6325.1566666666668</v>
      </c>
      <c r="C38" s="33">
        <f>Zbiorcza!AH177</f>
        <v>0</v>
      </c>
      <c r="D38" s="33">
        <f>Zbiorcza!AI177</f>
        <v>0</v>
      </c>
      <c r="E38" s="33">
        <f>Zbiorcza!AJ177</f>
        <v>1</v>
      </c>
      <c r="F38" s="33">
        <f>Zbiorcza!AK177</f>
        <v>99.596222768500027</v>
      </c>
      <c r="G38" s="33">
        <f>Zbiorcza!AL177</f>
        <v>4.4666666666666668</v>
      </c>
      <c r="H38" s="33">
        <f>Zbiorcza!AM177</f>
        <v>4272.7700000000004</v>
      </c>
    </row>
    <row r="39" spans="1:8" x14ac:dyDescent="0.25">
      <c r="A39" s="33" t="str">
        <f>Zbiorcza!AF178</f>
        <v>II 2016</v>
      </c>
      <c r="B39" s="33">
        <f>Zbiorcza!AG178</f>
        <v>6242.4033333333327</v>
      </c>
      <c r="C39" s="33">
        <f>Zbiorcza!AH178</f>
        <v>0</v>
      </c>
      <c r="D39" s="33">
        <f>Zbiorcza!AI178</f>
        <v>0</v>
      </c>
      <c r="E39" s="33">
        <f>Zbiorcza!AJ178</f>
        <v>1</v>
      </c>
      <c r="F39" s="33">
        <f>Zbiorcza!AK178</f>
        <v>100.09420388234251</v>
      </c>
      <c r="G39" s="33">
        <f>Zbiorcza!AL178</f>
        <v>4.2333333333333334</v>
      </c>
      <c r="H39" s="33">
        <f>Zbiorcza!AM178</f>
        <v>4083.58</v>
      </c>
    </row>
    <row r="40" spans="1:8" x14ac:dyDescent="0.25">
      <c r="A40" s="33" t="str">
        <f>Zbiorcza!AF179</f>
        <v>III 2016</v>
      </c>
      <c r="B40" s="33">
        <f>Zbiorcza!AG179</f>
        <v>6243.2673333333332</v>
      </c>
      <c r="C40" s="33">
        <f>Zbiorcza!AH179</f>
        <v>0</v>
      </c>
      <c r="D40" s="33">
        <f>Zbiorcza!AI179</f>
        <v>0</v>
      </c>
      <c r="E40" s="33">
        <f>Zbiorcza!AJ179</f>
        <v>1</v>
      </c>
      <c r="F40" s="33">
        <f>Zbiorcza!AK179</f>
        <v>99.693827066813142</v>
      </c>
      <c r="G40" s="33">
        <f>Zbiorcza!AL179</f>
        <v>3.8666666666666667</v>
      </c>
      <c r="H40" s="33">
        <f>Zbiorcza!AM179</f>
        <v>4145.74</v>
      </c>
    </row>
    <row r="41" spans="1:8" x14ac:dyDescent="0.25">
      <c r="A41" s="33" t="str">
        <f>Zbiorcza!AF180</f>
        <v>IV 2016</v>
      </c>
      <c r="B41" s="33">
        <f>Zbiorcza!AG180</f>
        <v>6089.34</v>
      </c>
      <c r="C41" s="33">
        <f>Zbiorcza!AH180</f>
        <v>0</v>
      </c>
      <c r="D41" s="33">
        <f>Zbiorcza!AI180</f>
        <v>0</v>
      </c>
      <c r="E41" s="33">
        <f>Zbiorcza!AJ180</f>
        <v>1</v>
      </c>
      <c r="F41" s="33">
        <f>Zbiorcza!AK180</f>
        <v>100.39168385628085</v>
      </c>
      <c r="G41" s="33">
        <f>Zbiorcza!AL180</f>
        <v>3.6333333333333333</v>
      </c>
      <c r="H41" s="33">
        <f>Zbiorcza!AM180</f>
        <v>4212.93</v>
      </c>
    </row>
    <row r="42" spans="1:8" x14ac:dyDescent="0.25">
      <c r="A42" s="33" t="str">
        <f>Zbiorcza!AF181</f>
        <v>I 2017</v>
      </c>
      <c r="B42" s="33">
        <f>Zbiorcza!AG181</f>
        <v>6315.7233333333324</v>
      </c>
      <c r="C42" s="33">
        <f>Zbiorcza!AH181</f>
        <v>0</v>
      </c>
      <c r="D42" s="33">
        <f>Zbiorcza!AI181</f>
        <v>0</v>
      </c>
      <c r="E42" s="33">
        <f>Zbiorcza!AJ181</f>
        <v>1</v>
      </c>
      <c r="F42" s="33">
        <f>Zbiorcza!AK181</f>
        <v>101.59638406255623</v>
      </c>
      <c r="G42" s="33">
        <f>Zbiorcza!AL181</f>
        <v>3.4666666666666668</v>
      </c>
      <c r="H42" s="33">
        <f>Zbiorcza!AM181</f>
        <v>4486.54</v>
      </c>
    </row>
    <row r="43" spans="1:8" x14ac:dyDescent="0.25">
      <c r="A43" s="33" t="str">
        <f>Zbiorcza!AF182</f>
        <v>II 2017</v>
      </c>
      <c r="B43" s="33">
        <f>Zbiorcza!AG182</f>
        <v>6084.8266666666668</v>
      </c>
      <c r="C43" s="33">
        <f>Zbiorcza!AH182</f>
        <v>0</v>
      </c>
      <c r="D43" s="33">
        <f>Zbiorcza!AI182</f>
        <v>0</v>
      </c>
      <c r="E43" s="33">
        <f>Zbiorcza!AJ182</f>
        <v>1</v>
      </c>
      <c r="F43" s="33">
        <f>Zbiorcza!AK182</f>
        <v>101.79957683068133</v>
      </c>
      <c r="G43" s="33">
        <f>Zbiorcza!AL182</f>
        <v>3.1999999999999997</v>
      </c>
      <c r="H43" s="33">
        <f>Zbiorcza!AM182</f>
        <v>4324.72</v>
      </c>
    </row>
    <row r="44" spans="1:8" x14ac:dyDescent="0.25">
      <c r="A44" s="33" t="str">
        <f>Zbiorcza!AF183</f>
        <v>III 2017</v>
      </c>
      <c r="B44" s="33">
        <f>Zbiorcza!AG183</f>
        <v>6091.0533333333342</v>
      </c>
      <c r="C44" s="33">
        <f>Zbiorcza!AH183</f>
        <v>0</v>
      </c>
      <c r="D44" s="33">
        <f>Zbiorcza!AI183</f>
        <v>0</v>
      </c>
      <c r="E44" s="33">
        <f>Zbiorcza!AJ183</f>
        <v>1</v>
      </c>
      <c r="F44" s="33">
        <f>Zbiorcza!AK183</f>
        <v>101.69777725385066</v>
      </c>
      <c r="G44" s="33">
        <f>Zbiorcza!AL183</f>
        <v>3</v>
      </c>
      <c r="H44" s="33">
        <f>Zbiorcza!AM183</f>
        <v>4415.87</v>
      </c>
    </row>
    <row r="45" spans="1:8" x14ac:dyDescent="0.25">
      <c r="A45" s="33" t="str">
        <f>Zbiorcza!AF184</f>
        <v>IV 2017</v>
      </c>
      <c r="B45" s="33">
        <f>Zbiorcza!AG184</f>
        <v>6195.4933333333329</v>
      </c>
      <c r="C45" s="33">
        <f>Zbiorcza!AH184</f>
        <v>0</v>
      </c>
      <c r="D45" s="33">
        <f>Zbiorcza!AI184</f>
        <v>0</v>
      </c>
      <c r="E45" s="33">
        <f>Zbiorcza!AJ184</f>
        <v>1</v>
      </c>
      <c r="F45" s="33">
        <f>Zbiorcza!AK184</f>
        <v>103.01984835815071</v>
      </c>
      <c r="G45" s="33">
        <f>Zbiorcza!AL184</f>
        <v>2.7666666666666671</v>
      </c>
      <c r="H45" s="33">
        <f>Zbiorcza!AM184</f>
        <v>4590.72</v>
      </c>
    </row>
    <row r="46" spans="1:8" x14ac:dyDescent="0.25">
      <c r="A46" s="33" t="str">
        <f>Zbiorcza!AF185</f>
        <v>I 2018</v>
      </c>
      <c r="B46" s="33">
        <f>Zbiorcza!AG185</f>
        <v>6360.6166666666659</v>
      </c>
      <c r="C46" s="33">
        <f>Zbiorcza!AH185</f>
        <v>0</v>
      </c>
      <c r="D46" s="33">
        <f>Zbiorcza!AI185</f>
        <v>0</v>
      </c>
      <c r="E46" s="33">
        <f>Zbiorcza!AJ185</f>
        <v>1</v>
      </c>
      <c r="F46" s="33">
        <f>Zbiorcza!AK185</f>
        <v>103.63796744829962</v>
      </c>
      <c r="G46" s="33">
        <f>Zbiorcza!AL185</f>
        <v>2.7000000000000006</v>
      </c>
      <c r="H46" s="33">
        <f>Zbiorcza!AM185</f>
        <v>4796.37</v>
      </c>
    </row>
    <row r="47" spans="1:8" x14ac:dyDescent="0.25">
      <c r="A47" s="33" t="str">
        <f>Zbiorcza!AF186</f>
        <v>II 2018</v>
      </c>
      <c r="B47" s="33">
        <f>Zbiorcza!AG186</f>
        <v>6232.7566666666671</v>
      </c>
      <c r="C47" s="33">
        <f>Zbiorcza!AH186</f>
        <v>0</v>
      </c>
      <c r="D47" s="33">
        <f>Zbiorcza!AI186</f>
        <v>0</v>
      </c>
      <c r="E47" s="33">
        <f>Zbiorcza!AJ186</f>
        <v>1</v>
      </c>
      <c r="F47" s="33">
        <f>Zbiorcza!AK186</f>
        <v>104.25979525298942</v>
      </c>
      <c r="G47" s="33">
        <f>Zbiorcza!AL186</f>
        <v>2.5666666666666669</v>
      </c>
      <c r="H47" s="33">
        <f>Zbiorcza!AM186</f>
        <v>4638.08</v>
      </c>
    </row>
    <row r="48" spans="1:8" x14ac:dyDescent="0.25">
      <c r="A48" s="33" t="str">
        <f>Zbiorcza!AF187</f>
        <v>III 2018</v>
      </c>
      <c r="B48" s="33">
        <f>Zbiorcza!AG187</f>
        <v>6310.333333333333</v>
      </c>
      <c r="C48" s="33">
        <f>Zbiorcza!AH187</f>
        <v>0</v>
      </c>
      <c r="D48" s="33">
        <f>Zbiorcza!AI187</f>
        <v>0</v>
      </c>
      <c r="E48" s="33">
        <f>Zbiorcza!AJ187</f>
        <v>1</v>
      </c>
      <c r="F48" s="33">
        <f>Zbiorcza!AK187</f>
        <v>104.46831484349539</v>
      </c>
      <c r="G48" s="33">
        <f>Zbiorcza!AL187</f>
        <v>2.4666666666666668</v>
      </c>
      <c r="H48" s="33">
        <f>Zbiorcza!AM187</f>
        <v>4707.1099999999997</v>
      </c>
    </row>
    <row r="49" spans="1:8" x14ac:dyDescent="0.25">
      <c r="A49" s="33" t="str">
        <f>Zbiorcza!AF188</f>
        <v>IV 2018</v>
      </c>
      <c r="B49" s="33">
        <f>Zbiorcza!AG188</f>
        <v>6502.3433333333332</v>
      </c>
      <c r="C49" s="33">
        <f>Zbiorcza!AH188</f>
        <v>0</v>
      </c>
      <c r="D49" s="33">
        <f>Zbiorcza!AI188</f>
        <v>0</v>
      </c>
      <c r="E49" s="33">
        <f>Zbiorcza!AJ188</f>
        <v>1</v>
      </c>
      <c r="F49" s="33">
        <f>Zbiorcza!AK188</f>
        <v>104.99065641771286</v>
      </c>
      <c r="G49" s="33">
        <f>Zbiorcza!AL188</f>
        <v>2.4</v>
      </c>
      <c r="H49" s="33">
        <f>Zbiorcza!AM188</f>
        <v>4901.28</v>
      </c>
    </row>
    <row r="50" spans="1:8" x14ac:dyDescent="0.25">
      <c r="A50" s="33" t="str">
        <f>Zbiorcza!AF189</f>
        <v>I 2015</v>
      </c>
      <c r="B50" s="33">
        <f>Zbiorcza!AG189</f>
        <v>6716.7749999999996</v>
      </c>
      <c r="C50" s="33">
        <f>Zbiorcza!AH189</f>
        <v>-1</v>
      </c>
      <c r="D50" s="33">
        <f>Zbiorcza!AI189</f>
        <v>-1</v>
      </c>
      <c r="E50" s="33">
        <f>Zbiorcza!AJ189</f>
        <v>-1</v>
      </c>
      <c r="F50" s="33">
        <f>Zbiorcza!AK189</f>
        <v>100</v>
      </c>
      <c r="G50" s="33">
        <f>Zbiorcza!AL189</f>
        <v>5.2</v>
      </c>
      <c r="H50" s="33">
        <f>Zbiorcza!AM189</f>
        <v>4103.62</v>
      </c>
    </row>
    <row r="51" spans="1:8" x14ac:dyDescent="0.25">
      <c r="A51" s="33" t="str">
        <f>Zbiorcza!AF190</f>
        <v>II 2015</v>
      </c>
      <c r="B51" s="33">
        <f>Zbiorcza!AG190</f>
        <v>7012</v>
      </c>
      <c r="C51" s="33">
        <f>Zbiorcza!AH190</f>
        <v>-1</v>
      </c>
      <c r="D51" s="33">
        <f>Zbiorcza!AI190</f>
        <v>-1</v>
      </c>
      <c r="E51" s="33">
        <f>Zbiorcza!AJ190</f>
        <v>-1</v>
      </c>
      <c r="F51" s="33">
        <f>Zbiorcza!AK190</f>
        <v>100.70000000000002</v>
      </c>
      <c r="G51" s="33">
        <f>Zbiorcza!AL190</f>
        <v>4.8999999999999995</v>
      </c>
      <c r="H51" s="33">
        <f>Zbiorcza!AM190</f>
        <v>3874.54</v>
      </c>
    </row>
    <row r="52" spans="1:8" x14ac:dyDescent="0.25">
      <c r="A52" s="33" t="str">
        <f>Zbiorcza!AF191</f>
        <v>III 2015</v>
      </c>
      <c r="B52" s="33">
        <f>Zbiorcza!AG191</f>
        <v>6793.1350000000002</v>
      </c>
      <c r="C52" s="33">
        <f>Zbiorcza!AH191</f>
        <v>-1</v>
      </c>
      <c r="D52" s="33">
        <f>Zbiorcza!AI191</f>
        <v>-1</v>
      </c>
      <c r="E52" s="33">
        <f>Zbiorcza!AJ191</f>
        <v>-1</v>
      </c>
      <c r="F52" s="33">
        <f>Zbiorcza!AK191</f>
        <v>100.39790000000002</v>
      </c>
      <c r="G52" s="33">
        <f>Zbiorcza!AL191</f>
        <v>4.6333333333333337</v>
      </c>
      <c r="H52" s="33">
        <f>Zbiorcza!AM191</f>
        <v>3938.3</v>
      </c>
    </row>
    <row r="53" spans="1:8" x14ac:dyDescent="0.25">
      <c r="A53" s="33" t="str">
        <f>Zbiorcza!AF192</f>
        <v>IV 2015</v>
      </c>
      <c r="B53" s="33">
        <f>Zbiorcza!AG192</f>
        <v>6980.6620000000003</v>
      </c>
      <c r="C53" s="33">
        <f>Zbiorcza!AH192</f>
        <v>-1</v>
      </c>
      <c r="D53" s="33">
        <f>Zbiorcza!AI192</f>
        <v>-1</v>
      </c>
      <c r="E53" s="33">
        <f>Zbiorcza!AJ192</f>
        <v>-1</v>
      </c>
      <c r="F53" s="33">
        <f>Zbiorcza!AK192</f>
        <v>100.09670630000002</v>
      </c>
      <c r="G53" s="33">
        <f>Zbiorcza!AL192</f>
        <v>4.4666666666666668</v>
      </c>
      <c r="H53" s="33">
        <f>Zbiorcza!AM192</f>
        <v>4160.5</v>
      </c>
    </row>
    <row r="54" spans="1:8" x14ac:dyDescent="0.25">
      <c r="A54" s="33" t="str">
        <f>Zbiorcza!AF193</f>
        <v>I 2016</v>
      </c>
      <c r="B54" s="33">
        <f>Zbiorcza!AG193</f>
        <v>6855.6</v>
      </c>
      <c r="C54" s="33">
        <f>Zbiorcza!AH193</f>
        <v>-1</v>
      </c>
      <c r="D54" s="33">
        <f>Zbiorcza!AI193</f>
        <v>-1</v>
      </c>
      <c r="E54" s="33">
        <f>Zbiorcza!AJ193</f>
        <v>-1</v>
      </c>
      <c r="F54" s="33">
        <f>Zbiorcza!AK193</f>
        <v>99.596222768500027</v>
      </c>
      <c r="G54" s="33">
        <f>Zbiorcza!AL193</f>
        <v>4.4666666666666668</v>
      </c>
      <c r="H54" s="33">
        <f>Zbiorcza!AM193</f>
        <v>4272.7700000000004</v>
      </c>
    </row>
    <row r="55" spans="1:8" x14ac:dyDescent="0.25">
      <c r="A55" s="33" t="str">
        <f>Zbiorcza!AF194</f>
        <v>II 2016</v>
      </c>
      <c r="B55" s="33">
        <f>Zbiorcza!AG194</f>
        <v>6801.67</v>
      </c>
      <c r="C55" s="33">
        <f>Zbiorcza!AH194</f>
        <v>-1</v>
      </c>
      <c r="D55" s="33">
        <f>Zbiorcza!AI194</f>
        <v>-1</v>
      </c>
      <c r="E55" s="33">
        <f>Zbiorcza!AJ194</f>
        <v>-1</v>
      </c>
      <c r="F55" s="33">
        <f>Zbiorcza!AK194</f>
        <v>100.09420388234251</v>
      </c>
      <c r="G55" s="33">
        <f>Zbiorcza!AL194</f>
        <v>4.2333333333333334</v>
      </c>
      <c r="H55" s="33">
        <f>Zbiorcza!AM194</f>
        <v>4083.58</v>
      </c>
    </row>
    <row r="56" spans="1:8" x14ac:dyDescent="0.25">
      <c r="A56" s="33" t="str">
        <f>Zbiorcza!AF195</f>
        <v>III 2016</v>
      </c>
      <c r="B56" s="33">
        <f>Zbiorcza!AG195</f>
        <v>6636.0344999999998</v>
      </c>
      <c r="C56" s="33">
        <f>Zbiorcza!AH195</f>
        <v>-1</v>
      </c>
      <c r="D56" s="33">
        <f>Zbiorcza!AI195</f>
        <v>-1</v>
      </c>
      <c r="E56" s="33">
        <f>Zbiorcza!AJ195</f>
        <v>-1</v>
      </c>
      <c r="F56" s="33">
        <f>Zbiorcza!AK195</f>
        <v>99.693827066813142</v>
      </c>
      <c r="G56" s="33">
        <f>Zbiorcza!AL195</f>
        <v>3.8666666666666667</v>
      </c>
      <c r="H56" s="33">
        <f>Zbiorcza!AM195</f>
        <v>4145.74</v>
      </c>
    </row>
    <row r="57" spans="1:8" x14ac:dyDescent="0.25">
      <c r="A57" s="33" t="str">
        <f>Zbiorcza!AF196</f>
        <v>IV 2016</v>
      </c>
      <c r="B57" s="33">
        <f>Zbiorcza!AG196</f>
        <v>6653.6949999999997</v>
      </c>
      <c r="C57" s="33">
        <f>Zbiorcza!AH196</f>
        <v>-1</v>
      </c>
      <c r="D57" s="33">
        <f>Zbiorcza!AI196</f>
        <v>-1</v>
      </c>
      <c r="E57" s="33">
        <f>Zbiorcza!AJ196</f>
        <v>-1</v>
      </c>
      <c r="F57" s="33">
        <f>Zbiorcza!AK196</f>
        <v>100.39168385628085</v>
      </c>
      <c r="G57" s="33">
        <f>Zbiorcza!AL196</f>
        <v>3.6333333333333333</v>
      </c>
      <c r="H57" s="33">
        <f>Zbiorcza!AM196</f>
        <v>4212.93</v>
      </c>
    </row>
    <row r="58" spans="1:8" x14ac:dyDescent="0.25">
      <c r="A58" s="33" t="str">
        <f>Zbiorcza!AF197</f>
        <v>I 2017</v>
      </c>
      <c r="B58" s="33">
        <f>Zbiorcza!AG197</f>
        <v>6581.2649999999994</v>
      </c>
      <c r="C58" s="33">
        <f>Zbiorcza!AH197</f>
        <v>-1</v>
      </c>
      <c r="D58" s="33">
        <f>Zbiorcza!AI197</f>
        <v>-1</v>
      </c>
      <c r="E58" s="33">
        <f>Zbiorcza!AJ197</f>
        <v>-1</v>
      </c>
      <c r="F58" s="33">
        <f>Zbiorcza!AK197</f>
        <v>101.59638406255623</v>
      </c>
      <c r="G58" s="33">
        <f>Zbiorcza!AL197</f>
        <v>3.4666666666666668</v>
      </c>
      <c r="H58" s="33">
        <f>Zbiorcza!AM197</f>
        <v>4486.54</v>
      </c>
    </row>
    <row r="59" spans="1:8" x14ac:dyDescent="0.25">
      <c r="A59" s="33" t="str">
        <f>Zbiorcza!AF198</f>
        <v>II 2017</v>
      </c>
      <c r="B59" s="33">
        <f>Zbiorcza!AG198</f>
        <v>6446.35</v>
      </c>
      <c r="C59" s="33">
        <f>Zbiorcza!AH198</f>
        <v>-1</v>
      </c>
      <c r="D59" s="33">
        <f>Zbiorcza!AI198</f>
        <v>-1</v>
      </c>
      <c r="E59" s="33">
        <f>Zbiorcza!AJ198</f>
        <v>-1</v>
      </c>
      <c r="F59" s="33">
        <f>Zbiorcza!AK198</f>
        <v>101.79957683068133</v>
      </c>
      <c r="G59" s="33">
        <f>Zbiorcza!AL198</f>
        <v>3.1999999999999997</v>
      </c>
      <c r="H59" s="33">
        <f>Zbiorcza!AM198</f>
        <v>4324.72</v>
      </c>
    </row>
    <row r="60" spans="1:8" x14ac:dyDescent="0.25">
      <c r="A60" s="33" t="str">
        <f>Zbiorcza!AF199</f>
        <v>III 2017</v>
      </c>
      <c r="B60" s="33">
        <f>Zbiorcza!AG199</f>
        <v>6588.2150000000001</v>
      </c>
      <c r="C60" s="33">
        <f>Zbiorcza!AH199</f>
        <v>-1</v>
      </c>
      <c r="D60" s="33">
        <f>Zbiorcza!AI199</f>
        <v>-1</v>
      </c>
      <c r="E60" s="33">
        <f>Zbiorcza!AJ199</f>
        <v>-1</v>
      </c>
      <c r="F60" s="33">
        <f>Zbiorcza!AK199</f>
        <v>101.69777725385066</v>
      </c>
      <c r="G60" s="33">
        <f>Zbiorcza!AL199</f>
        <v>3</v>
      </c>
      <c r="H60" s="33">
        <f>Zbiorcza!AM199</f>
        <v>4415.87</v>
      </c>
    </row>
    <row r="61" spans="1:8" x14ac:dyDescent="0.25">
      <c r="A61" s="33" t="str">
        <f>Zbiorcza!AF200</f>
        <v>IV 2017</v>
      </c>
      <c r="B61" s="33">
        <f>Zbiorcza!AG200</f>
        <v>6440.16</v>
      </c>
      <c r="C61" s="33">
        <f>Zbiorcza!AH200</f>
        <v>-1</v>
      </c>
      <c r="D61" s="33">
        <f>Zbiorcza!AI200</f>
        <v>-1</v>
      </c>
      <c r="E61" s="33">
        <f>Zbiorcza!AJ200</f>
        <v>-1</v>
      </c>
      <c r="F61" s="33">
        <f>Zbiorcza!AK200</f>
        <v>103.01984835815071</v>
      </c>
      <c r="G61" s="33">
        <f>Zbiorcza!AL200</f>
        <v>2.7666666666666671</v>
      </c>
      <c r="H61" s="33">
        <f>Zbiorcza!AM200</f>
        <v>4590.72</v>
      </c>
    </row>
    <row r="62" spans="1:8" x14ac:dyDescent="0.25">
      <c r="A62" s="33" t="str">
        <f>Zbiorcza!AF201</f>
        <v>I 2018</v>
      </c>
      <c r="B62" s="33">
        <f>Zbiorcza!AG201</f>
        <v>6579.8450000000003</v>
      </c>
      <c r="C62" s="33">
        <f>Zbiorcza!AH201</f>
        <v>-1</v>
      </c>
      <c r="D62" s="33">
        <f>Zbiorcza!AI201</f>
        <v>-1</v>
      </c>
      <c r="E62" s="33">
        <f>Zbiorcza!AJ201</f>
        <v>-1</v>
      </c>
      <c r="F62" s="33">
        <f>Zbiorcza!AK201</f>
        <v>103.63796744829962</v>
      </c>
      <c r="G62" s="33">
        <f>Zbiorcza!AL201</f>
        <v>2.7000000000000006</v>
      </c>
      <c r="H62" s="33">
        <f>Zbiorcza!AM201</f>
        <v>4796.37</v>
      </c>
    </row>
    <row r="63" spans="1:8" x14ac:dyDescent="0.25">
      <c r="A63" s="33" t="str">
        <f>Zbiorcza!AF202</f>
        <v>II 2018</v>
      </c>
      <c r="B63" s="33">
        <f>Zbiorcza!AG202</f>
        <v>6544.87</v>
      </c>
      <c r="C63" s="33">
        <f>Zbiorcza!AH202</f>
        <v>-1</v>
      </c>
      <c r="D63" s="33">
        <f>Zbiorcza!AI202</f>
        <v>-1</v>
      </c>
      <c r="E63" s="33">
        <f>Zbiorcza!AJ202</f>
        <v>-1</v>
      </c>
      <c r="F63" s="33">
        <f>Zbiorcza!AK202</f>
        <v>104.25979525298942</v>
      </c>
      <c r="G63" s="33">
        <f>Zbiorcza!AL202</f>
        <v>2.5666666666666669</v>
      </c>
      <c r="H63" s="33">
        <f>Zbiorcza!AM202</f>
        <v>4638.08</v>
      </c>
    </row>
    <row r="64" spans="1:8" x14ac:dyDescent="0.25">
      <c r="A64" s="33" t="str">
        <f>Zbiorcza!AF203</f>
        <v>III 2018</v>
      </c>
      <c r="B64" s="33">
        <f>Zbiorcza!AG203</f>
        <v>6942.5649999999996</v>
      </c>
      <c r="C64" s="33">
        <f>Zbiorcza!AH203</f>
        <v>-1</v>
      </c>
      <c r="D64" s="33">
        <f>Zbiorcza!AI203</f>
        <v>-1</v>
      </c>
      <c r="E64" s="33">
        <f>Zbiorcza!AJ203</f>
        <v>-1</v>
      </c>
      <c r="F64" s="33">
        <f>Zbiorcza!AK203</f>
        <v>104.46831484349539</v>
      </c>
      <c r="G64" s="33">
        <f>Zbiorcza!AL203</f>
        <v>2.4666666666666668</v>
      </c>
      <c r="H64" s="33">
        <f>Zbiorcza!AM203</f>
        <v>4707.1099999999997</v>
      </c>
    </row>
    <row r="65" spans="1:8" x14ac:dyDescent="0.25">
      <c r="A65" s="33" t="str">
        <f>Zbiorcza!AF204</f>
        <v>IV 2018</v>
      </c>
      <c r="B65" s="33">
        <f>Zbiorcza!AG204</f>
        <v>6794.2999999999993</v>
      </c>
      <c r="C65" s="33">
        <f>Zbiorcza!AH204</f>
        <v>-1</v>
      </c>
      <c r="D65" s="33">
        <f>Zbiorcza!AI204</f>
        <v>-1</v>
      </c>
      <c r="E65" s="33">
        <f>Zbiorcza!AJ204</f>
        <v>-1</v>
      </c>
      <c r="F65" s="33">
        <f>Zbiorcza!AK204</f>
        <v>104.99065641771286</v>
      </c>
      <c r="G65" s="33">
        <f>Zbiorcza!AL204</f>
        <v>2.4</v>
      </c>
      <c r="H65" s="33">
        <f>Zbiorcza!AM204</f>
        <v>4901.28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I16" sqref="I16"/>
    </sheetView>
  </sheetViews>
  <sheetFormatPr defaultRowHeight="15" x14ac:dyDescent="0.25"/>
  <sheetData>
    <row r="1" spans="1:9" x14ac:dyDescent="0.25">
      <c r="A1" t="str">
        <f>Zbiorcza!AP140</f>
        <v>Kw</v>
      </c>
      <c r="B1" t="str">
        <f>Zbiorcza!AQ140</f>
        <v>Cena</v>
      </c>
      <c r="C1" t="str">
        <f>Zbiorcza!AR140</f>
        <v>M_do35</v>
      </c>
      <c r="D1" t="str">
        <f>Zbiorcza!AS140</f>
        <v>M_35-50</v>
      </c>
      <c r="E1" t="str">
        <f>Zbiorcza!AT140</f>
        <v>M_50-80</v>
      </c>
      <c r="F1" t="str">
        <f>Zbiorcza!AU140</f>
        <v>Wsk_cen</v>
      </c>
      <c r="G1" t="str">
        <f>Zbiorcza!AV140</f>
        <v>Bezr</v>
      </c>
      <c r="H1" t="str">
        <f>Zbiorcza!AW140</f>
        <v>W</v>
      </c>
      <c r="I1" t="str">
        <f>Zbiorcza!AX140</f>
        <v>cena-1</v>
      </c>
    </row>
    <row r="2" spans="1:9" x14ac:dyDescent="0.25">
      <c r="A2" t="str">
        <f>Zbiorcza!AP141</f>
        <v>II 2015</v>
      </c>
      <c r="B2">
        <f>Zbiorcza!AQ141</f>
        <v>6394</v>
      </c>
      <c r="C2">
        <f>Zbiorcza!AR141</f>
        <v>1</v>
      </c>
      <c r="D2">
        <f>Zbiorcza!AS141</f>
        <v>0</v>
      </c>
      <c r="E2">
        <f>Zbiorcza!AT141</f>
        <v>0</v>
      </c>
      <c r="F2">
        <f>Zbiorcza!AU141</f>
        <v>100.70000000000002</v>
      </c>
      <c r="G2">
        <f>Zbiorcza!AV141</f>
        <v>4.8999999999999995</v>
      </c>
      <c r="H2">
        <f>Zbiorcza!AW141</f>
        <v>3874.54</v>
      </c>
      <c r="I2">
        <f>Zbiorcza!AX141</f>
        <v>6482.78</v>
      </c>
    </row>
    <row r="3" spans="1:9" x14ac:dyDescent="0.25">
      <c r="A3" t="str">
        <f>Zbiorcza!AP142</f>
        <v>III 2015</v>
      </c>
      <c r="B3">
        <f>Zbiorcza!AQ142</f>
        <v>6485.21</v>
      </c>
      <c r="C3">
        <f>Zbiorcza!AR142</f>
        <v>1</v>
      </c>
      <c r="D3">
        <f>Zbiorcza!AS142</f>
        <v>0</v>
      </c>
      <c r="E3">
        <f>Zbiorcza!AT142</f>
        <v>0</v>
      </c>
      <c r="F3">
        <f>Zbiorcza!AU142</f>
        <v>100.39790000000002</v>
      </c>
      <c r="G3">
        <f>Zbiorcza!AV142</f>
        <v>4.6333333333333337</v>
      </c>
      <c r="H3">
        <f>Zbiorcza!AW142</f>
        <v>3938.3</v>
      </c>
      <c r="I3">
        <f>Zbiorcza!AX142</f>
        <v>6394</v>
      </c>
    </row>
    <row r="4" spans="1:9" x14ac:dyDescent="0.25">
      <c r="A4" t="str">
        <f>Zbiorcza!AP143</f>
        <v>IV 2015</v>
      </c>
      <c r="B4">
        <f>Zbiorcza!AQ143</f>
        <v>6555.2979999999998</v>
      </c>
      <c r="C4">
        <f>Zbiorcza!AR143</f>
        <v>1</v>
      </c>
      <c r="D4">
        <f>Zbiorcza!AS143</f>
        <v>0</v>
      </c>
      <c r="E4">
        <f>Zbiorcza!AT143</f>
        <v>0</v>
      </c>
      <c r="F4">
        <f>Zbiorcza!AU143</f>
        <v>100.09670630000002</v>
      </c>
      <c r="G4">
        <f>Zbiorcza!AV143</f>
        <v>4.4666666666666668</v>
      </c>
      <c r="H4">
        <f>Zbiorcza!AW143</f>
        <v>4160.5</v>
      </c>
      <c r="I4">
        <f>Zbiorcza!AX143</f>
        <v>6485.21</v>
      </c>
    </row>
    <row r="5" spans="1:9" x14ac:dyDescent="0.25">
      <c r="A5" t="str">
        <f>Zbiorcza!AP144</f>
        <v>I 2016</v>
      </c>
      <c r="B5">
        <f>Zbiorcza!AQ144</f>
        <v>6697.57</v>
      </c>
      <c r="C5">
        <f>Zbiorcza!AR144</f>
        <v>1</v>
      </c>
      <c r="D5">
        <f>Zbiorcza!AS144</f>
        <v>0</v>
      </c>
      <c r="E5">
        <f>Zbiorcza!AT144</f>
        <v>0</v>
      </c>
      <c r="F5">
        <f>Zbiorcza!AU144</f>
        <v>99.596222768500027</v>
      </c>
      <c r="G5">
        <f>Zbiorcza!AV144</f>
        <v>4.4666666666666668</v>
      </c>
      <c r="H5">
        <f>Zbiorcza!AW144</f>
        <v>4272.7700000000004</v>
      </c>
      <c r="I5">
        <f>Zbiorcza!AX144</f>
        <v>6555.2979999999998</v>
      </c>
    </row>
    <row r="6" spans="1:9" x14ac:dyDescent="0.25">
      <c r="A6" t="str">
        <f>Zbiorcza!AP145</f>
        <v>II 2016</v>
      </c>
      <c r="B6">
        <f>Zbiorcza!AQ145</f>
        <v>6804.41</v>
      </c>
      <c r="C6">
        <f>Zbiorcza!AR145</f>
        <v>1</v>
      </c>
      <c r="D6">
        <f>Zbiorcza!AS145</f>
        <v>0</v>
      </c>
      <c r="E6">
        <f>Zbiorcza!AT145</f>
        <v>0</v>
      </c>
      <c r="F6">
        <f>Zbiorcza!AU145</f>
        <v>100.09420388234251</v>
      </c>
      <c r="G6">
        <f>Zbiorcza!AV145</f>
        <v>4.2333333333333334</v>
      </c>
      <c r="H6">
        <f>Zbiorcza!AW145</f>
        <v>4083.58</v>
      </c>
      <c r="I6">
        <f>Zbiorcza!AX145</f>
        <v>6697.57</v>
      </c>
    </row>
    <row r="7" spans="1:9" x14ac:dyDescent="0.25">
      <c r="A7" t="str">
        <f>Zbiorcza!AP146</f>
        <v>III 2016</v>
      </c>
      <c r="B7">
        <f>Zbiorcza!AQ146</f>
        <v>6982.3239999999996</v>
      </c>
      <c r="C7">
        <f>Zbiorcza!AR146</f>
        <v>1</v>
      </c>
      <c r="D7">
        <f>Zbiorcza!AS146</f>
        <v>0</v>
      </c>
      <c r="E7">
        <f>Zbiorcza!AT146</f>
        <v>0</v>
      </c>
      <c r="F7">
        <f>Zbiorcza!AU146</f>
        <v>99.693827066813142</v>
      </c>
      <c r="G7">
        <f>Zbiorcza!AV146</f>
        <v>3.8666666666666667</v>
      </c>
      <c r="H7">
        <f>Zbiorcza!AW146</f>
        <v>4145.74</v>
      </c>
      <c r="I7">
        <f>Zbiorcza!AX146</f>
        <v>6804.41</v>
      </c>
    </row>
    <row r="8" spans="1:9" x14ac:dyDescent="0.25">
      <c r="A8" t="str">
        <f>Zbiorcza!AP147</f>
        <v>IV 2016</v>
      </c>
      <c r="B8">
        <f>Zbiorcza!AQ147</f>
        <v>6940.39</v>
      </c>
      <c r="C8">
        <f>Zbiorcza!AR147</f>
        <v>1</v>
      </c>
      <c r="D8">
        <f>Zbiorcza!AS147</f>
        <v>0</v>
      </c>
      <c r="E8">
        <f>Zbiorcza!AT147</f>
        <v>0</v>
      </c>
      <c r="F8">
        <f>Zbiorcza!AU147</f>
        <v>100.39168385628085</v>
      </c>
      <c r="G8">
        <f>Zbiorcza!AV147</f>
        <v>3.6333333333333333</v>
      </c>
      <c r="H8">
        <f>Zbiorcza!AW147</f>
        <v>4212.93</v>
      </c>
      <c r="I8">
        <f>Zbiorcza!AX147</f>
        <v>6982.3239999999996</v>
      </c>
    </row>
    <row r="9" spans="1:9" x14ac:dyDescent="0.25">
      <c r="A9" t="str">
        <f>Zbiorcza!AP148</f>
        <v>I 2017</v>
      </c>
      <c r="B9">
        <f>Zbiorcza!AQ148</f>
        <v>7185.93</v>
      </c>
      <c r="C9">
        <f>Zbiorcza!AR148</f>
        <v>1</v>
      </c>
      <c r="D9">
        <f>Zbiorcza!AS148</f>
        <v>0</v>
      </c>
      <c r="E9">
        <f>Zbiorcza!AT148</f>
        <v>0</v>
      </c>
      <c r="F9">
        <f>Zbiorcza!AU148</f>
        <v>101.59638406255623</v>
      </c>
      <c r="G9">
        <f>Zbiorcza!AV148</f>
        <v>3.4666666666666668</v>
      </c>
      <c r="H9">
        <f>Zbiorcza!AW148</f>
        <v>4486.54</v>
      </c>
      <c r="I9">
        <f>Zbiorcza!AX148</f>
        <v>6940.39</v>
      </c>
    </row>
    <row r="10" spans="1:9" x14ac:dyDescent="0.25">
      <c r="A10" t="str">
        <f>Zbiorcza!AP149</f>
        <v>II 2017</v>
      </c>
      <c r="B10">
        <f>Zbiorcza!AQ149</f>
        <v>7336.36</v>
      </c>
      <c r="C10">
        <f>Zbiorcza!AR149</f>
        <v>1</v>
      </c>
      <c r="D10">
        <f>Zbiorcza!AS149</f>
        <v>0</v>
      </c>
      <c r="E10">
        <f>Zbiorcza!AT149</f>
        <v>0</v>
      </c>
      <c r="F10">
        <f>Zbiorcza!AU149</f>
        <v>101.79957683068133</v>
      </c>
      <c r="G10">
        <f>Zbiorcza!AV149</f>
        <v>3.1999999999999997</v>
      </c>
      <c r="H10">
        <f>Zbiorcza!AW149</f>
        <v>4324.72</v>
      </c>
      <c r="I10">
        <f>Zbiorcza!AX149</f>
        <v>7185.93</v>
      </c>
    </row>
    <row r="11" spans="1:9" x14ac:dyDescent="0.25">
      <c r="A11" t="str">
        <f>Zbiorcza!AP150</f>
        <v>III 2017</v>
      </c>
      <c r="B11">
        <f>Zbiorcza!AQ150</f>
        <v>7179.27</v>
      </c>
      <c r="C11">
        <f>Zbiorcza!AR150</f>
        <v>1</v>
      </c>
      <c r="D11">
        <f>Zbiorcza!AS150</f>
        <v>0</v>
      </c>
      <c r="E11">
        <f>Zbiorcza!AT150</f>
        <v>0</v>
      </c>
      <c r="F11">
        <f>Zbiorcza!AU150</f>
        <v>101.69777725385066</v>
      </c>
      <c r="G11">
        <f>Zbiorcza!AV150</f>
        <v>3</v>
      </c>
      <c r="H11">
        <f>Zbiorcza!AW150</f>
        <v>4415.87</v>
      </c>
      <c r="I11">
        <f>Zbiorcza!AX150</f>
        <v>7336.36</v>
      </c>
    </row>
    <row r="12" spans="1:9" x14ac:dyDescent="0.25">
      <c r="A12" t="str">
        <f>Zbiorcza!AP151</f>
        <v>IV 2017</v>
      </c>
      <c r="B12">
        <f>Zbiorcza!AQ151</f>
        <v>6811.24</v>
      </c>
      <c r="C12">
        <f>Zbiorcza!AR151</f>
        <v>1</v>
      </c>
      <c r="D12">
        <f>Zbiorcza!AS151</f>
        <v>0</v>
      </c>
      <c r="E12">
        <f>Zbiorcza!AT151</f>
        <v>0</v>
      </c>
      <c r="F12">
        <f>Zbiorcza!AU151</f>
        <v>103.01984835815071</v>
      </c>
      <c r="G12">
        <f>Zbiorcza!AV151</f>
        <v>2.7666666666666671</v>
      </c>
      <c r="H12">
        <f>Zbiorcza!AW151</f>
        <v>4590.72</v>
      </c>
      <c r="I12">
        <f>Zbiorcza!AX151</f>
        <v>7179.27</v>
      </c>
    </row>
    <row r="13" spans="1:9" x14ac:dyDescent="0.25">
      <c r="A13" t="str">
        <f>Zbiorcza!AP152</f>
        <v>I 2018</v>
      </c>
      <c r="B13">
        <f>Zbiorcza!AQ152</f>
        <v>7065.67</v>
      </c>
      <c r="C13">
        <f>Zbiorcza!AR152</f>
        <v>1</v>
      </c>
      <c r="D13">
        <f>Zbiorcza!AS152</f>
        <v>0</v>
      </c>
      <c r="E13">
        <f>Zbiorcza!AT152</f>
        <v>0</v>
      </c>
      <c r="F13">
        <f>Zbiorcza!AU152</f>
        <v>103.63796744829962</v>
      </c>
      <c r="G13">
        <f>Zbiorcza!AV152</f>
        <v>2.7000000000000006</v>
      </c>
      <c r="H13">
        <f>Zbiorcza!AW152</f>
        <v>4796.37</v>
      </c>
      <c r="I13">
        <f>Zbiorcza!AX152</f>
        <v>6811.24</v>
      </c>
    </row>
    <row r="14" spans="1:9" x14ac:dyDescent="0.25">
      <c r="A14" t="str">
        <f>Zbiorcza!AP153</f>
        <v>II 2018</v>
      </c>
      <c r="B14">
        <f>Zbiorcza!AQ153</f>
        <v>7394.17</v>
      </c>
      <c r="C14">
        <f>Zbiorcza!AR153</f>
        <v>1</v>
      </c>
      <c r="D14">
        <f>Zbiorcza!AS153</f>
        <v>0</v>
      </c>
      <c r="E14">
        <f>Zbiorcza!AT153</f>
        <v>0</v>
      </c>
      <c r="F14">
        <f>Zbiorcza!AU153</f>
        <v>104.25979525298942</v>
      </c>
      <c r="G14">
        <f>Zbiorcza!AV153</f>
        <v>2.5666666666666669</v>
      </c>
      <c r="H14">
        <f>Zbiorcza!AW153</f>
        <v>4638.08</v>
      </c>
      <c r="I14">
        <f>Zbiorcza!AX153</f>
        <v>7065.67</v>
      </c>
    </row>
    <row r="15" spans="1:9" x14ac:dyDescent="0.25">
      <c r="A15" t="str">
        <f>Zbiorcza!AP154</f>
        <v>III 2018</v>
      </c>
      <c r="B15">
        <f>Zbiorcza!AQ154</f>
        <v>7000.8</v>
      </c>
      <c r="C15">
        <f>Zbiorcza!AR154</f>
        <v>1</v>
      </c>
      <c r="D15">
        <f>Zbiorcza!AS154</f>
        <v>0</v>
      </c>
      <c r="E15">
        <f>Zbiorcza!AT154</f>
        <v>0</v>
      </c>
      <c r="F15">
        <f>Zbiorcza!AU154</f>
        <v>104.46831484349539</v>
      </c>
      <c r="G15">
        <f>Zbiorcza!AV154</f>
        <v>2.4666666666666668</v>
      </c>
      <c r="H15">
        <f>Zbiorcza!AW154</f>
        <v>4707.1099999999997</v>
      </c>
      <c r="I15">
        <f>Zbiorcza!AX154</f>
        <v>7394.17</v>
      </c>
    </row>
    <row r="16" spans="1:9" x14ac:dyDescent="0.25">
      <c r="A16" t="str">
        <f>Zbiorcza!AP155</f>
        <v>IV 2018</v>
      </c>
      <c r="B16">
        <f>Zbiorcza!AQ155</f>
        <v>7310.16</v>
      </c>
      <c r="C16">
        <f>Zbiorcza!AR155</f>
        <v>1</v>
      </c>
      <c r="D16">
        <f>Zbiorcza!AS155</f>
        <v>0</v>
      </c>
      <c r="E16">
        <f>Zbiorcza!AT155</f>
        <v>0</v>
      </c>
      <c r="F16">
        <f>Zbiorcza!AU155</f>
        <v>104.99065641771286</v>
      </c>
      <c r="G16">
        <f>Zbiorcza!AV155</f>
        <v>2.4</v>
      </c>
      <c r="H16">
        <f>Zbiorcza!AW155</f>
        <v>4901.28</v>
      </c>
      <c r="I16" s="33">
        <f>Zbiorcza!AX155</f>
        <v>7000.8</v>
      </c>
    </row>
    <row r="17" spans="1:9" x14ac:dyDescent="0.25">
      <c r="A17" t="str">
        <f>Zbiorcza!AP156</f>
        <v>I 2015</v>
      </c>
      <c r="B17">
        <f>Zbiorcza!AQ156</f>
        <v>6146.4650000000001</v>
      </c>
      <c r="C17">
        <f>Zbiorcza!AR156</f>
        <v>0</v>
      </c>
      <c r="D17">
        <f>Zbiorcza!AS156</f>
        <v>1</v>
      </c>
      <c r="E17">
        <f>Zbiorcza!AT156</f>
        <v>0</v>
      </c>
      <c r="F17">
        <f>Zbiorcza!AU156</f>
        <v>100</v>
      </c>
      <c r="G17">
        <f>Zbiorcza!AV156</f>
        <v>5.2</v>
      </c>
      <c r="H17">
        <f>Zbiorcza!AW156</f>
        <v>4103.62</v>
      </c>
      <c r="I17">
        <f>Zbiorcza!AX156</f>
        <v>7310.16</v>
      </c>
    </row>
    <row r="18" spans="1:9" x14ac:dyDescent="0.25">
      <c r="A18" t="str">
        <f>Zbiorcza!AP157</f>
        <v>II 2015</v>
      </c>
      <c r="B18">
        <f>Zbiorcza!AQ157</f>
        <v>6045</v>
      </c>
      <c r="C18">
        <f>Zbiorcza!AR157</f>
        <v>0</v>
      </c>
      <c r="D18">
        <f>Zbiorcza!AS157</f>
        <v>1</v>
      </c>
      <c r="E18">
        <f>Zbiorcza!AT157</f>
        <v>0</v>
      </c>
      <c r="F18">
        <f>Zbiorcza!AU157</f>
        <v>100.70000000000002</v>
      </c>
      <c r="G18">
        <f>Zbiorcza!AV157</f>
        <v>4.8999999999999995</v>
      </c>
      <c r="H18">
        <f>Zbiorcza!AW157</f>
        <v>3874.54</v>
      </c>
      <c r="I18">
        <f>Zbiorcza!AX157</f>
        <v>6146.4650000000001</v>
      </c>
    </row>
    <row r="19" spans="1:9" x14ac:dyDescent="0.25">
      <c r="A19" t="str">
        <f>Zbiorcza!AP158</f>
        <v>III 2015</v>
      </c>
      <c r="B19">
        <f>Zbiorcza!AQ158</f>
        <v>6072.78</v>
      </c>
      <c r="C19">
        <f>Zbiorcza!AR158</f>
        <v>0</v>
      </c>
      <c r="D19">
        <f>Zbiorcza!AS158</f>
        <v>1</v>
      </c>
      <c r="E19">
        <f>Zbiorcza!AT158</f>
        <v>0</v>
      </c>
      <c r="F19">
        <f>Zbiorcza!AU158</f>
        <v>100.39790000000002</v>
      </c>
      <c r="G19">
        <f>Zbiorcza!AV158</f>
        <v>4.6333333333333337</v>
      </c>
      <c r="H19">
        <f>Zbiorcza!AW158</f>
        <v>3938.3</v>
      </c>
      <c r="I19">
        <f>Zbiorcza!AX158</f>
        <v>6045</v>
      </c>
    </row>
    <row r="20" spans="1:9" x14ac:dyDescent="0.25">
      <c r="A20" t="str">
        <f>Zbiorcza!AP159</f>
        <v>IV 2015</v>
      </c>
      <c r="B20">
        <f>Zbiorcza!AQ159</f>
        <v>6300.2039999999997</v>
      </c>
      <c r="C20">
        <f>Zbiorcza!AR159</f>
        <v>0</v>
      </c>
      <c r="D20">
        <f>Zbiorcza!AS159</f>
        <v>1</v>
      </c>
      <c r="E20">
        <f>Zbiorcza!AT159</f>
        <v>0</v>
      </c>
      <c r="F20">
        <f>Zbiorcza!AU159</f>
        <v>100.09670630000002</v>
      </c>
      <c r="G20">
        <f>Zbiorcza!AV159</f>
        <v>4.4666666666666668</v>
      </c>
      <c r="H20">
        <f>Zbiorcza!AW159</f>
        <v>4160.5</v>
      </c>
      <c r="I20">
        <f>Zbiorcza!AX159</f>
        <v>6072.78</v>
      </c>
    </row>
    <row r="21" spans="1:9" x14ac:dyDescent="0.25">
      <c r="A21" t="str">
        <f>Zbiorcza!AP160</f>
        <v>I 2016</v>
      </c>
      <c r="B21">
        <f>Zbiorcza!AQ160</f>
        <v>6328.2150000000001</v>
      </c>
      <c r="C21">
        <f>Zbiorcza!AR160</f>
        <v>0</v>
      </c>
      <c r="D21">
        <f>Zbiorcza!AS160</f>
        <v>1</v>
      </c>
      <c r="E21">
        <f>Zbiorcza!AT160</f>
        <v>0</v>
      </c>
      <c r="F21">
        <f>Zbiorcza!AU160</f>
        <v>99.596222768500027</v>
      </c>
      <c r="G21">
        <f>Zbiorcza!AV160</f>
        <v>4.4666666666666668</v>
      </c>
      <c r="H21">
        <f>Zbiorcza!AW160</f>
        <v>4272.7700000000004</v>
      </c>
      <c r="I21">
        <f>Zbiorcza!AX160</f>
        <v>6300.2039999999997</v>
      </c>
    </row>
    <row r="22" spans="1:9" x14ac:dyDescent="0.25">
      <c r="A22" t="str">
        <f>Zbiorcza!AP161</f>
        <v>II 2016</v>
      </c>
      <c r="B22">
        <f>Zbiorcza!AQ161</f>
        <v>6493.9949999999999</v>
      </c>
      <c r="C22">
        <f>Zbiorcza!AR161</f>
        <v>0</v>
      </c>
      <c r="D22">
        <f>Zbiorcza!AS161</f>
        <v>1</v>
      </c>
      <c r="E22">
        <f>Zbiorcza!AT161</f>
        <v>0</v>
      </c>
      <c r="F22">
        <f>Zbiorcza!AU161</f>
        <v>100.09420388234251</v>
      </c>
      <c r="G22">
        <f>Zbiorcza!AV161</f>
        <v>4.2333333333333334</v>
      </c>
      <c r="H22">
        <f>Zbiorcza!AW161</f>
        <v>4083.58</v>
      </c>
      <c r="I22">
        <f>Zbiorcza!AX161</f>
        <v>6328.2150000000001</v>
      </c>
    </row>
    <row r="23" spans="1:9" x14ac:dyDescent="0.25">
      <c r="A23" t="str">
        <f>Zbiorcza!AP162</f>
        <v>III 2016</v>
      </c>
      <c r="B23">
        <f>Zbiorcza!AQ162</f>
        <v>6516.3519999999999</v>
      </c>
      <c r="C23">
        <f>Zbiorcza!AR162</f>
        <v>0</v>
      </c>
      <c r="D23">
        <f>Zbiorcza!AS162</f>
        <v>1</v>
      </c>
      <c r="E23">
        <f>Zbiorcza!AT162</f>
        <v>0</v>
      </c>
      <c r="F23">
        <f>Zbiorcza!AU162</f>
        <v>99.693827066813142</v>
      </c>
      <c r="G23">
        <f>Zbiorcza!AV162</f>
        <v>3.8666666666666667</v>
      </c>
      <c r="H23">
        <f>Zbiorcza!AW162</f>
        <v>4145.74</v>
      </c>
      <c r="I23">
        <f>Zbiorcza!AX162</f>
        <v>6493.9949999999999</v>
      </c>
    </row>
    <row r="24" spans="1:9" x14ac:dyDescent="0.25">
      <c r="A24" t="str">
        <f>Zbiorcza!AP163</f>
        <v>IV 2016</v>
      </c>
      <c r="B24">
        <f>Zbiorcza!AQ163</f>
        <v>6518.6350000000002</v>
      </c>
      <c r="C24">
        <f>Zbiorcza!AR163</f>
        <v>0</v>
      </c>
      <c r="D24">
        <f>Zbiorcza!AS163</f>
        <v>1</v>
      </c>
      <c r="E24">
        <f>Zbiorcza!AT163</f>
        <v>0</v>
      </c>
      <c r="F24">
        <f>Zbiorcza!AU163</f>
        <v>100.39168385628085</v>
      </c>
      <c r="G24">
        <f>Zbiorcza!AV163</f>
        <v>3.6333333333333333</v>
      </c>
      <c r="H24">
        <f>Zbiorcza!AW163</f>
        <v>4212.93</v>
      </c>
      <c r="I24">
        <f>Zbiorcza!AX163</f>
        <v>6516.3519999999999</v>
      </c>
    </row>
    <row r="25" spans="1:9" x14ac:dyDescent="0.25">
      <c r="A25" t="str">
        <f>Zbiorcza!AP164</f>
        <v>I 2017</v>
      </c>
      <c r="B25">
        <f>Zbiorcza!AQ164</f>
        <v>6327.2999999999993</v>
      </c>
      <c r="C25">
        <f>Zbiorcza!AR164</f>
        <v>0</v>
      </c>
      <c r="D25">
        <f>Zbiorcza!AS164</f>
        <v>1</v>
      </c>
      <c r="E25">
        <f>Zbiorcza!AT164</f>
        <v>0</v>
      </c>
      <c r="F25">
        <f>Zbiorcza!AU164</f>
        <v>101.59638406255623</v>
      </c>
      <c r="G25">
        <f>Zbiorcza!AV164</f>
        <v>3.4666666666666668</v>
      </c>
      <c r="H25">
        <f>Zbiorcza!AW164</f>
        <v>4486.54</v>
      </c>
      <c r="I25">
        <f>Zbiorcza!AX164</f>
        <v>6518.6350000000002</v>
      </c>
    </row>
    <row r="26" spans="1:9" x14ac:dyDescent="0.25">
      <c r="A26" t="str">
        <f>Zbiorcza!AP165</f>
        <v>II 2017</v>
      </c>
      <c r="B26">
        <f>Zbiorcza!AQ165</f>
        <v>6118.22</v>
      </c>
      <c r="C26">
        <f>Zbiorcza!AR165</f>
        <v>0</v>
      </c>
      <c r="D26">
        <f>Zbiorcza!AS165</f>
        <v>1</v>
      </c>
      <c r="E26">
        <f>Zbiorcza!AT165</f>
        <v>0</v>
      </c>
      <c r="F26">
        <f>Zbiorcza!AU165</f>
        <v>101.79957683068133</v>
      </c>
      <c r="G26">
        <f>Zbiorcza!AV165</f>
        <v>3.1999999999999997</v>
      </c>
      <c r="H26">
        <f>Zbiorcza!AW165</f>
        <v>4324.72</v>
      </c>
      <c r="I26">
        <f>Zbiorcza!AX165</f>
        <v>6327.2999999999993</v>
      </c>
    </row>
    <row r="27" spans="1:9" x14ac:dyDescent="0.25">
      <c r="A27" t="str">
        <f>Zbiorcza!AP166</f>
        <v>III 2017</v>
      </c>
      <c r="B27">
        <f>Zbiorcza!AQ166</f>
        <v>6242.76</v>
      </c>
      <c r="C27">
        <f>Zbiorcza!AR166</f>
        <v>0</v>
      </c>
      <c r="D27">
        <f>Zbiorcza!AS166</f>
        <v>1</v>
      </c>
      <c r="E27">
        <f>Zbiorcza!AT166</f>
        <v>0</v>
      </c>
      <c r="F27">
        <f>Zbiorcza!AU166</f>
        <v>101.69777725385066</v>
      </c>
      <c r="G27">
        <f>Zbiorcza!AV166</f>
        <v>3</v>
      </c>
      <c r="H27">
        <f>Zbiorcza!AW166</f>
        <v>4415.87</v>
      </c>
      <c r="I27">
        <f>Zbiorcza!AX166</f>
        <v>6118.22</v>
      </c>
    </row>
    <row r="28" spans="1:9" x14ac:dyDescent="0.25">
      <c r="A28" t="str">
        <f>Zbiorcza!AP167</f>
        <v>IV 2017</v>
      </c>
      <c r="B28">
        <f>Zbiorcza!AQ167</f>
        <v>6582.4050000000007</v>
      </c>
      <c r="C28">
        <f>Zbiorcza!AR167</f>
        <v>0</v>
      </c>
      <c r="D28">
        <f>Zbiorcza!AS167</f>
        <v>1</v>
      </c>
      <c r="E28">
        <f>Zbiorcza!AT167</f>
        <v>0</v>
      </c>
      <c r="F28">
        <f>Zbiorcza!AU167</f>
        <v>103.01984835815071</v>
      </c>
      <c r="G28">
        <f>Zbiorcza!AV167</f>
        <v>2.7666666666666671</v>
      </c>
      <c r="H28">
        <f>Zbiorcza!AW167</f>
        <v>4590.72</v>
      </c>
      <c r="I28">
        <f>Zbiorcza!AX167</f>
        <v>6242.76</v>
      </c>
    </row>
    <row r="29" spans="1:9" x14ac:dyDescent="0.25">
      <c r="A29" t="str">
        <f>Zbiorcza!AP168</f>
        <v>I 2018</v>
      </c>
      <c r="B29">
        <f>Zbiorcza!AQ168</f>
        <v>6598.3549999999996</v>
      </c>
      <c r="C29">
        <f>Zbiorcza!AR168</f>
        <v>0</v>
      </c>
      <c r="D29">
        <f>Zbiorcza!AS168</f>
        <v>1</v>
      </c>
      <c r="E29">
        <f>Zbiorcza!AT168</f>
        <v>0</v>
      </c>
      <c r="F29">
        <f>Zbiorcza!AU168</f>
        <v>103.63796744829962</v>
      </c>
      <c r="G29">
        <f>Zbiorcza!AV168</f>
        <v>2.7000000000000006</v>
      </c>
      <c r="H29">
        <f>Zbiorcza!AW168</f>
        <v>4796.37</v>
      </c>
      <c r="I29">
        <f>Zbiorcza!AX168</f>
        <v>6582.4050000000007</v>
      </c>
    </row>
    <row r="30" spans="1:9" x14ac:dyDescent="0.25">
      <c r="A30" t="str">
        <f>Zbiorcza!AP169</f>
        <v>II 2018</v>
      </c>
      <c r="B30">
        <f>Zbiorcza!AQ169</f>
        <v>6516.57</v>
      </c>
      <c r="C30">
        <f>Zbiorcza!AR169</f>
        <v>0</v>
      </c>
      <c r="D30">
        <f>Zbiorcza!AS169</f>
        <v>1</v>
      </c>
      <c r="E30">
        <f>Zbiorcza!AT169</f>
        <v>0</v>
      </c>
      <c r="F30">
        <f>Zbiorcza!AU169</f>
        <v>104.25979525298942</v>
      </c>
      <c r="G30">
        <f>Zbiorcza!AV169</f>
        <v>2.5666666666666669</v>
      </c>
      <c r="H30">
        <f>Zbiorcza!AW169</f>
        <v>4638.08</v>
      </c>
      <c r="I30">
        <f>Zbiorcza!AX169</f>
        <v>6598.3549999999996</v>
      </c>
    </row>
    <row r="31" spans="1:9" x14ac:dyDescent="0.25">
      <c r="A31" t="str">
        <f>Zbiorcza!AP170</f>
        <v>III 2018</v>
      </c>
      <c r="B31">
        <f>Zbiorcza!AQ170</f>
        <v>6503.83</v>
      </c>
      <c r="C31">
        <f>Zbiorcza!AR170</f>
        <v>0</v>
      </c>
      <c r="D31">
        <f>Zbiorcza!AS170</f>
        <v>1</v>
      </c>
      <c r="E31">
        <f>Zbiorcza!AT170</f>
        <v>0</v>
      </c>
      <c r="F31">
        <f>Zbiorcza!AU170</f>
        <v>104.46831484349539</v>
      </c>
      <c r="G31">
        <f>Zbiorcza!AV170</f>
        <v>2.4666666666666668</v>
      </c>
      <c r="H31">
        <f>Zbiorcza!AW170</f>
        <v>4707.1099999999997</v>
      </c>
      <c r="I31">
        <f>Zbiorcza!AX170</f>
        <v>6516.57</v>
      </c>
    </row>
    <row r="32" spans="1:9" x14ac:dyDescent="0.25">
      <c r="A32" t="str">
        <f>Zbiorcza!AP171</f>
        <v>IV 2018</v>
      </c>
      <c r="B32">
        <f>Zbiorcza!AQ171</f>
        <v>6769.6</v>
      </c>
      <c r="C32">
        <f>Zbiorcza!AR171</f>
        <v>0</v>
      </c>
      <c r="D32">
        <f>Zbiorcza!AS171</f>
        <v>1</v>
      </c>
      <c r="E32">
        <f>Zbiorcza!AT171</f>
        <v>0</v>
      </c>
      <c r="F32">
        <f>Zbiorcza!AU171</f>
        <v>104.99065641771286</v>
      </c>
      <c r="G32">
        <f>Zbiorcza!AV171</f>
        <v>2.4</v>
      </c>
      <c r="H32">
        <f>Zbiorcza!AW171</f>
        <v>4901.28</v>
      </c>
      <c r="I32">
        <f>Zbiorcza!AX171</f>
        <v>6503.83</v>
      </c>
    </row>
    <row r="33" spans="1:9" x14ac:dyDescent="0.25">
      <c r="A33" t="str">
        <f>Zbiorcza!AP172</f>
        <v>I 2015</v>
      </c>
      <c r="B33">
        <f>Zbiorcza!AQ172</f>
        <v>6227.6966666666667</v>
      </c>
      <c r="C33">
        <f>Zbiorcza!AR172</f>
        <v>0</v>
      </c>
      <c r="D33">
        <f>Zbiorcza!AS172</f>
        <v>0</v>
      </c>
      <c r="E33">
        <f>Zbiorcza!AT172</f>
        <v>1</v>
      </c>
      <c r="F33">
        <f>Zbiorcza!AU172</f>
        <v>100</v>
      </c>
      <c r="G33">
        <f>Zbiorcza!AV172</f>
        <v>5.2</v>
      </c>
      <c r="H33">
        <f>Zbiorcza!AW172</f>
        <v>4103.62</v>
      </c>
      <c r="I33">
        <f>Zbiorcza!AX172</f>
        <v>6769.6</v>
      </c>
    </row>
    <row r="34" spans="1:9" x14ac:dyDescent="0.25">
      <c r="A34" t="str">
        <f>Zbiorcza!AP173</f>
        <v>II 2015</v>
      </c>
      <c r="B34">
        <f>Zbiorcza!AQ173</f>
        <v>6284</v>
      </c>
      <c r="C34">
        <f>Zbiorcza!AR173</f>
        <v>0</v>
      </c>
      <c r="D34">
        <f>Zbiorcza!AS173</f>
        <v>0</v>
      </c>
      <c r="E34">
        <f>Zbiorcza!AT173</f>
        <v>1</v>
      </c>
      <c r="F34">
        <f>Zbiorcza!AU173</f>
        <v>100.70000000000002</v>
      </c>
      <c r="G34">
        <f>Zbiorcza!AV173</f>
        <v>4.8999999999999995</v>
      </c>
      <c r="H34">
        <f>Zbiorcza!AW173</f>
        <v>3874.54</v>
      </c>
      <c r="I34">
        <f>Zbiorcza!AX173</f>
        <v>6227.6966666666667</v>
      </c>
    </row>
    <row r="35" spans="1:9" x14ac:dyDescent="0.25">
      <c r="A35" t="str">
        <f>Zbiorcza!AP174</f>
        <v>III 2015</v>
      </c>
      <c r="B35">
        <f>Zbiorcza!AQ174</f>
        <v>6228.6466666666674</v>
      </c>
      <c r="C35">
        <f>Zbiorcza!AR174</f>
        <v>0</v>
      </c>
      <c r="D35">
        <f>Zbiorcza!AS174</f>
        <v>0</v>
      </c>
      <c r="E35">
        <f>Zbiorcza!AT174</f>
        <v>1</v>
      </c>
      <c r="F35">
        <f>Zbiorcza!AU174</f>
        <v>100.39790000000002</v>
      </c>
      <c r="G35">
        <f>Zbiorcza!AV174</f>
        <v>4.6333333333333337</v>
      </c>
      <c r="H35">
        <f>Zbiorcza!AW174</f>
        <v>3938.3</v>
      </c>
      <c r="I35">
        <f>Zbiorcza!AX174</f>
        <v>6284</v>
      </c>
    </row>
    <row r="36" spans="1:9" x14ac:dyDescent="0.25">
      <c r="A36" t="str">
        <f>Zbiorcza!AP175</f>
        <v>IV 2015</v>
      </c>
      <c r="B36">
        <f>Zbiorcza!AQ175</f>
        <v>6379.0406666666668</v>
      </c>
      <c r="C36">
        <f>Zbiorcza!AR175</f>
        <v>0</v>
      </c>
      <c r="D36">
        <f>Zbiorcza!AS175</f>
        <v>0</v>
      </c>
      <c r="E36">
        <f>Zbiorcza!AT175</f>
        <v>1</v>
      </c>
      <c r="F36">
        <f>Zbiorcza!AU175</f>
        <v>100.09670630000002</v>
      </c>
      <c r="G36">
        <f>Zbiorcza!AV175</f>
        <v>4.4666666666666668</v>
      </c>
      <c r="H36">
        <f>Zbiorcza!AW175</f>
        <v>4160.5</v>
      </c>
      <c r="I36">
        <f>Zbiorcza!AX175</f>
        <v>6228.6466666666674</v>
      </c>
    </row>
    <row r="37" spans="1:9" x14ac:dyDescent="0.25">
      <c r="A37" t="str">
        <f>Zbiorcza!AP176</f>
        <v>I 2016</v>
      </c>
      <c r="B37">
        <f>Zbiorcza!AQ176</f>
        <v>6325.1566666666668</v>
      </c>
      <c r="C37">
        <f>Zbiorcza!AR176</f>
        <v>0</v>
      </c>
      <c r="D37">
        <f>Zbiorcza!AS176</f>
        <v>0</v>
      </c>
      <c r="E37">
        <f>Zbiorcza!AT176</f>
        <v>1</v>
      </c>
      <c r="F37">
        <f>Zbiorcza!AU176</f>
        <v>99.596222768500027</v>
      </c>
      <c r="G37">
        <f>Zbiorcza!AV176</f>
        <v>4.4666666666666668</v>
      </c>
      <c r="H37">
        <f>Zbiorcza!AW176</f>
        <v>4272.7700000000004</v>
      </c>
      <c r="I37">
        <f>Zbiorcza!AX176</f>
        <v>6379.0406666666668</v>
      </c>
    </row>
    <row r="38" spans="1:9" x14ac:dyDescent="0.25">
      <c r="A38" t="str">
        <f>Zbiorcza!AP177</f>
        <v>II 2016</v>
      </c>
      <c r="B38">
        <f>Zbiorcza!AQ177</f>
        <v>6242.4033333333327</v>
      </c>
      <c r="C38">
        <f>Zbiorcza!AR177</f>
        <v>0</v>
      </c>
      <c r="D38">
        <f>Zbiorcza!AS177</f>
        <v>0</v>
      </c>
      <c r="E38">
        <f>Zbiorcza!AT177</f>
        <v>1</v>
      </c>
      <c r="F38">
        <f>Zbiorcza!AU177</f>
        <v>100.09420388234251</v>
      </c>
      <c r="G38">
        <f>Zbiorcza!AV177</f>
        <v>4.2333333333333334</v>
      </c>
      <c r="H38">
        <f>Zbiorcza!AW177</f>
        <v>4083.58</v>
      </c>
      <c r="I38">
        <f>Zbiorcza!AX177</f>
        <v>6325.1566666666668</v>
      </c>
    </row>
    <row r="39" spans="1:9" x14ac:dyDescent="0.25">
      <c r="A39" t="str">
        <f>Zbiorcza!AP178</f>
        <v>III 2016</v>
      </c>
      <c r="B39">
        <f>Zbiorcza!AQ178</f>
        <v>6243.2673333333332</v>
      </c>
      <c r="C39">
        <f>Zbiorcza!AR178</f>
        <v>0</v>
      </c>
      <c r="D39">
        <f>Zbiorcza!AS178</f>
        <v>0</v>
      </c>
      <c r="E39">
        <f>Zbiorcza!AT178</f>
        <v>1</v>
      </c>
      <c r="F39">
        <f>Zbiorcza!AU178</f>
        <v>99.693827066813142</v>
      </c>
      <c r="G39">
        <f>Zbiorcza!AV178</f>
        <v>3.8666666666666667</v>
      </c>
      <c r="H39">
        <f>Zbiorcza!AW178</f>
        <v>4145.74</v>
      </c>
      <c r="I39">
        <f>Zbiorcza!AX178</f>
        <v>6242.4033333333327</v>
      </c>
    </row>
    <row r="40" spans="1:9" x14ac:dyDescent="0.25">
      <c r="A40" t="str">
        <f>Zbiorcza!AP179</f>
        <v>IV 2016</v>
      </c>
      <c r="B40">
        <f>Zbiorcza!AQ179</f>
        <v>6089.34</v>
      </c>
      <c r="C40">
        <f>Zbiorcza!AR179</f>
        <v>0</v>
      </c>
      <c r="D40">
        <f>Zbiorcza!AS179</f>
        <v>0</v>
      </c>
      <c r="E40">
        <f>Zbiorcza!AT179</f>
        <v>1</v>
      </c>
      <c r="F40">
        <f>Zbiorcza!AU179</f>
        <v>100.39168385628085</v>
      </c>
      <c r="G40">
        <f>Zbiorcza!AV179</f>
        <v>3.6333333333333333</v>
      </c>
      <c r="H40">
        <f>Zbiorcza!AW179</f>
        <v>4212.93</v>
      </c>
      <c r="I40">
        <f>Zbiorcza!AX179</f>
        <v>6243.2673333333332</v>
      </c>
    </row>
    <row r="41" spans="1:9" x14ac:dyDescent="0.25">
      <c r="A41" t="str">
        <f>Zbiorcza!AP180</f>
        <v>I 2017</v>
      </c>
      <c r="B41">
        <f>Zbiorcza!AQ180</f>
        <v>6315.7233333333324</v>
      </c>
      <c r="C41">
        <f>Zbiorcza!AR180</f>
        <v>0</v>
      </c>
      <c r="D41">
        <f>Zbiorcza!AS180</f>
        <v>0</v>
      </c>
      <c r="E41">
        <f>Zbiorcza!AT180</f>
        <v>1</v>
      </c>
      <c r="F41">
        <f>Zbiorcza!AU180</f>
        <v>101.59638406255623</v>
      </c>
      <c r="G41">
        <f>Zbiorcza!AV180</f>
        <v>3.4666666666666668</v>
      </c>
      <c r="H41">
        <f>Zbiorcza!AW180</f>
        <v>4486.54</v>
      </c>
      <c r="I41">
        <f>Zbiorcza!AX180</f>
        <v>6089.34</v>
      </c>
    </row>
    <row r="42" spans="1:9" x14ac:dyDescent="0.25">
      <c r="A42" t="str">
        <f>Zbiorcza!AP181</f>
        <v>II 2017</v>
      </c>
      <c r="B42">
        <f>Zbiorcza!AQ181</f>
        <v>6084.8266666666668</v>
      </c>
      <c r="C42">
        <f>Zbiorcza!AR181</f>
        <v>0</v>
      </c>
      <c r="D42">
        <f>Zbiorcza!AS181</f>
        <v>0</v>
      </c>
      <c r="E42">
        <f>Zbiorcza!AT181</f>
        <v>1</v>
      </c>
      <c r="F42">
        <f>Zbiorcza!AU181</f>
        <v>101.79957683068133</v>
      </c>
      <c r="G42">
        <f>Zbiorcza!AV181</f>
        <v>3.1999999999999997</v>
      </c>
      <c r="H42">
        <f>Zbiorcza!AW181</f>
        <v>4324.72</v>
      </c>
      <c r="I42">
        <f>Zbiorcza!AX181</f>
        <v>6315.7233333333324</v>
      </c>
    </row>
    <row r="43" spans="1:9" x14ac:dyDescent="0.25">
      <c r="A43" t="str">
        <f>Zbiorcza!AP182</f>
        <v>III 2017</v>
      </c>
      <c r="B43">
        <f>Zbiorcza!AQ182</f>
        <v>6091.0533333333342</v>
      </c>
      <c r="C43">
        <f>Zbiorcza!AR182</f>
        <v>0</v>
      </c>
      <c r="D43">
        <f>Zbiorcza!AS182</f>
        <v>0</v>
      </c>
      <c r="E43">
        <f>Zbiorcza!AT182</f>
        <v>1</v>
      </c>
      <c r="F43">
        <f>Zbiorcza!AU182</f>
        <v>101.69777725385066</v>
      </c>
      <c r="G43">
        <f>Zbiorcza!AV182</f>
        <v>3</v>
      </c>
      <c r="H43">
        <f>Zbiorcza!AW182</f>
        <v>4415.87</v>
      </c>
      <c r="I43">
        <f>Zbiorcza!AX182</f>
        <v>6084.8266666666668</v>
      </c>
    </row>
    <row r="44" spans="1:9" x14ac:dyDescent="0.25">
      <c r="A44" t="str">
        <f>Zbiorcza!AP183</f>
        <v>IV 2017</v>
      </c>
      <c r="B44">
        <f>Zbiorcza!AQ183</f>
        <v>6195.4933333333329</v>
      </c>
      <c r="C44">
        <f>Zbiorcza!AR183</f>
        <v>0</v>
      </c>
      <c r="D44">
        <f>Zbiorcza!AS183</f>
        <v>0</v>
      </c>
      <c r="E44">
        <f>Zbiorcza!AT183</f>
        <v>1</v>
      </c>
      <c r="F44">
        <f>Zbiorcza!AU183</f>
        <v>103.01984835815071</v>
      </c>
      <c r="G44">
        <f>Zbiorcza!AV183</f>
        <v>2.7666666666666671</v>
      </c>
      <c r="H44">
        <f>Zbiorcza!AW183</f>
        <v>4590.72</v>
      </c>
      <c r="I44">
        <f>Zbiorcza!AX183</f>
        <v>6091.0533333333342</v>
      </c>
    </row>
    <row r="45" spans="1:9" x14ac:dyDescent="0.25">
      <c r="A45" t="str">
        <f>Zbiorcza!AP184</f>
        <v>I 2018</v>
      </c>
      <c r="B45">
        <f>Zbiorcza!AQ184</f>
        <v>6360.6166666666659</v>
      </c>
      <c r="C45">
        <f>Zbiorcza!AR184</f>
        <v>0</v>
      </c>
      <c r="D45">
        <f>Zbiorcza!AS184</f>
        <v>0</v>
      </c>
      <c r="E45">
        <f>Zbiorcza!AT184</f>
        <v>1</v>
      </c>
      <c r="F45">
        <f>Zbiorcza!AU184</f>
        <v>103.63796744829962</v>
      </c>
      <c r="G45">
        <f>Zbiorcza!AV184</f>
        <v>2.7000000000000006</v>
      </c>
      <c r="H45">
        <f>Zbiorcza!AW184</f>
        <v>4796.37</v>
      </c>
      <c r="I45">
        <f>Zbiorcza!AX184</f>
        <v>6195.4933333333329</v>
      </c>
    </row>
    <row r="46" spans="1:9" x14ac:dyDescent="0.25">
      <c r="A46" t="str">
        <f>Zbiorcza!AP185</f>
        <v>II 2018</v>
      </c>
      <c r="B46">
        <f>Zbiorcza!AQ185</f>
        <v>6232.7566666666671</v>
      </c>
      <c r="C46">
        <f>Zbiorcza!AR185</f>
        <v>0</v>
      </c>
      <c r="D46">
        <f>Zbiorcza!AS185</f>
        <v>0</v>
      </c>
      <c r="E46">
        <f>Zbiorcza!AT185</f>
        <v>1</v>
      </c>
      <c r="F46">
        <f>Zbiorcza!AU185</f>
        <v>104.25979525298942</v>
      </c>
      <c r="G46">
        <f>Zbiorcza!AV185</f>
        <v>2.5666666666666669</v>
      </c>
      <c r="H46">
        <f>Zbiorcza!AW185</f>
        <v>4638.08</v>
      </c>
      <c r="I46">
        <f>Zbiorcza!AX185</f>
        <v>6360.6166666666659</v>
      </c>
    </row>
    <row r="47" spans="1:9" x14ac:dyDescent="0.25">
      <c r="A47" t="str">
        <f>Zbiorcza!AP186</f>
        <v>III 2018</v>
      </c>
      <c r="B47">
        <f>Zbiorcza!AQ186</f>
        <v>6310.333333333333</v>
      </c>
      <c r="C47">
        <f>Zbiorcza!AR186</f>
        <v>0</v>
      </c>
      <c r="D47">
        <f>Zbiorcza!AS186</f>
        <v>0</v>
      </c>
      <c r="E47">
        <f>Zbiorcza!AT186</f>
        <v>1</v>
      </c>
      <c r="F47">
        <f>Zbiorcza!AU186</f>
        <v>104.46831484349539</v>
      </c>
      <c r="G47">
        <f>Zbiorcza!AV186</f>
        <v>2.4666666666666668</v>
      </c>
      <c r="H47">
        <f>Zbiorcza!AW186</f>
        <v>4707.1099999999997</v>
      </c>
      <c r="I47">
        <f>Zbiorcza!AX186</f>
        <v>6232.7566666666671</v>
      </c>
    </row>
    <row r="48" spans="1:9" x14ac:dyDescent="0.25">
      <c r="A48" t="str">
        <f>Zbiorcza!AP187</f>
        <v>IV 2018</v>
      </c>
      <c r="B48">
        <f>Zbiorcza!AQ187</f>
        <v>6502.3433333333332</v>
      </c>
      <c r="C48">
        <f>Zbiorcza!AR187</f>
        <v>0</v>
      </c>
      <c r="D48">
        <f>Zbiorcza!AS187</f>
        <v>0</v>
      </c>
      <c r="E48">
        <f>Zbiorcza!AT187</f>
        <v>1</v>
      </c>
      <c r="F48">
        <f>Zbiorcza!AU187</f>
        <v>104.99065641771286</v>
      </c>
      <c r="G48">
        <f>Zbiorcza!AV187</f>
        <v>2.4</v>
      </c>
      <c r="H48">
        <f>Zbiorcza!AW187</f>
        <v>4901.28</v>
      </c>
      <c r="I48">
        <f>Zbiorcza!AX187</f>
        <v>6310.333333333333</v>
      </c>
    </row>
    <row r="49" spans="1:9" x14ac:dyDescent="0.25">
      <c r="A49" t="str">
        <f>Zbiorcza!AP188</f>
        <v>I 2015</v>
      </c>
      <c r="B49">
        <f>Zbiorcza!AQ188</f>
        <v>6716.7749999999996</v>
      </c>
      <c r="C49">
        <f>Zbiorcza!AR188</f>
        <v>-1</v>
      </c>
      <c r="D49">
        <f>Zbiorcza!AS188</f>
        <v>-1</v>
      </c>
      <c r="E49">
        <f>Zbiorcza!AT188</f>
        <v>-1</v>
      </c>
      <c r="F49">
        <f>Zbiorcza!AU188</f>
        <v>100</v>
      </c>
      <c r="G49">
        <f>Zbiorcza!AV188</f>
        <v>5.2</v>
      </c>
      <c r="H49">
        <f>Zbiorcza!AW188</f>
        <v>4103.62</v>
      </c>
      <c r="I49">
        <f>Zbiorcza!AX188</f>
        <v>6502.3433333333332</v>
      </c>
    </row>
    <row r="50" spans="1:9" x14ac:dyDescent="0.25">
      <c r="A50" t="str">
        <f>Zbiorcza!AP189</f>
        <v>II 2015</v>
      </c>
      <c r="B50">
        <f>Zbiorcza!AQ189</f>
        <v>7012</v>
      </c>
      <c r="C50">
        <f>Zbiorcza!AR189</f>
        <v>-1</v>
      </c>
      <c r="D50">
        <f>Zbiorcza!AS189</f>
        <v>-1</v>
      </c>
      <c r="E50">
        <f>Zbiorcza!AT189</f>
        <v>-1</v>
      </c>
      <c r="F50">
        <f>Zbiorcza!AU189</f>
        <v>100.70000000000002</v>
      </c>
      <c r="G50">
        <f>Zbiorcza!AV189</f>
        <v>4.8999999999999995</v>
      </c>
      <c r="H50">
        <f>Zbiorcza!AW189</f>
        <v>3874.54</v>
      </c>
      <c r="I50">
        <f>Zbiorcza!AX189</f>
        <v>6716.7749999999996</v>
      </c>
    </row>
    <row r="51" spans="1:9" x14ac:dyDescent="0.25">
      <c r="A51" t="str">
        <f>Zbiorcza!AP190</f>
        <v>III 2015</v>
      </c>
      <c r="B51">
        <f>Zbiorcza!AQ190</f>
        <v>6793.1350000000002</v>
      </c>
      <c r="C51">
        <f>Zbiorcza!AR190</f>
        <v>-1</v>
      </c>
      <c r="D51">
        <f>Zbiorcza!AS190</f>
        <v>-1</v>
      </c>
      <c r="E51">
        <f>Zbiorcza!AT190</f>
        <v>-1</v>
      </c>
      <c r="F51">
        <f>Zbiorcza!AU190</f>
        <v>100.39790000000002</v>
      </c>
      <c r="G51">
        <f>Zbiorcza!AV190</f>
        <v>4.6333333333333337</v>
      </c>
      <c r="H51">
        <f>Zbiorcza!AW190</f>
        <v>3938.3</v>
      </c>
      <c r="I51">
        <f>Zbiorcza!AX190</f>
        <v>7012</v>
      </c>
    </row>
    <row r="52" spans="1:9" x14ac:dyDescent="0.25">
      <c r="A52" t="str">
        <f>Zbiorcza!AP191</f>
        <v>IV 2015</v>
      </c>
      <c r="B52">
        <f>Zbiorcza!AQ191</f>
        <v>6980.6620000000003</v>
      </c>
      <c r="C52">
        <f>Zbiorcza!AR191</f>
        <v>-1</v>
      </c>
      <c r="D52">
        <f>Zbiorcza!AS191</f>
        <v>-1</v>
      </c>
      <c r="E52">
        <f>Zbiorcza!AT191</f>
        <v>-1</v>
      </c>
      <c r="F52">
        <f>Zbiorcza!AU191</f>
        <v>100.09670630000002</v>
      </c>
      <c r="G52">
        <f>Zbiorcza!AV191</f>
        <v>4.4666666666666668</v>
      </c>
      <c r="H52">
        <f>Zbiorcza!AW191</f>
        <v>4160.5</v>
      </c>
      <c r="I52">
        <f>Zbiorcza!AX191</f>
        <v>6793.1350000000002</v>
      </c>
    </row>
    <row r="53" spans="1:9" x14ac:dyDescent="0.25">
      <c r="A53" t="str">
        <f>Zbiorcza!AP192</f>
        <v>I 2016</v>
      </c>
      <c r="B53">
        <f>Zbiorcza!AQ192</f>
        <v>6855.6</v>
      </c>
      <c r="C53">
        <f>Zbiorcza!AR192</f>
        <v>-1</v>
      </c>
      <c r="D53">
        <f>Zbiorcza!AS192</f>
        <v>-1</v>
      </c>
      <c r="E53">
        <f>Zbiorcza!AT192</f>
        <v>-1</v>
      </c>
      <c r="F53">
        <f>Zbiorcza!AU192</f>
        <v>99.596222768500027</v>
      </c>
      <c r="G53">
        <f>Zbiorcza!AV192</f>
        <v>4.4666666666666668</v>
      </c>
      <c r="H53">
        <f>Zbiorcza!AW192</f>
        <v>4272.7700000000004</v>
      </c>
      <c r="I53">
        <f>Zbiorcza!AX192</f>
        <v>6980.6620000000003</v>
      </c>
    </row>
    <row r="54" spans="1:9" x14ac:dyDescent="0.25">
      <c r="A54" t="str">
        <f>Zbiorcza!AP193</f>
        <v>II 2016</v>
      </c>
      <c r="B54">
        <f>Zbiorcza!AQ193</f>
        <v>6801.67</v>
      </c>
      <c r="C54">
        <f>Zbiorcza!AR193</f>
        <v>-1</v>
      </c>
      <c r="D54">
        <f>Zbiorcza!AS193</f>
        <v>-1</v>
      </c>
      <c r="E54">
        <f>Zbiorcza!AT193</f>
        <v>-1</v>
      </c>
      <c r="F54">
        <f>Zbiorcza!AU193</f>
        <v>100.09420388234251</v>
      </c>
      <c r="G54">
        <f>Zbiorcza!AV193</f>
        <v>4.2333333333333334</v>
      </c>
      <c r="H54">
        <f>Zbiorcza!AW193</f>
        <v>4083.58</v>
      </c>
      <c r="I54">
        <f>Zbiorcza!AX193</f>
        <v>6855.6</v>
      </c>
    </row>
    <row r="55" spans="1:9" x14ac:dyDescent="0.25">
      <c r="A55" t="str">
        <f>Zbiorcza!AP194</f>
        <v>III 2016</v>
      </c>
      <c r="B55">
        <f>Zbiorcza!AQ194</f>
        <v>6636.0344999999998</v>
      </c>
      <c r="C55">
        <f>Zbiorcza!AR194</f>
        <v>-1</v>
      </c>
      <c r="D55">
        <f>Zbiorcza!AS194</f>
        <v>-1</v>
      </c>
      <c r="E55">
        <f>Zbiorcza!AT194</f>
        <v>-1</v>
      </c>
      <c r="F55">
        <f>Zbiorcza!AU194</f>
        <v>99.693827066813142</v>
      </c>
      <c r="G55">
        <f>Zbiorcza!AV194</f>
        <v>3.8666666666666667</v>
      </c>
      <c r="H55">
        <f>Zbiorcza!AW194</f>
        <v>4145.74</v>
      </c>
      <c r="I55">
        <f>Zbiorcza!AX194</f>
        <v>6801.67</v>
      </c>
    </row>
    <row r="56" spans="1:9" x14ac:dyDescent="0.25">
      <c r="A56" t="str">
        <f>Zbiorcza!AP195</f>
        <v>IV 2016</v>
      </c>
      <c r="B56">
        <f>Zbiorcza!AQ195</f>
        <v>6653.6949999999997</v>
      </c>
      <c r="C56">
        <f>Zbiorcza!AR195</f>
        <v>-1</v>
      </c>
      <c r="D56">
        <f>Zbiorcza!AS195</f>
        <v>-1</v>
      </c>
      <c r="E56">
        <f>Zbiorcza!AT195</f>
        <v>-1</v>
      </c>
      <c r="F56">
        <f>Zbiorcza!AU195</f>
        <v>100.39168385628085</v>
      </c>
      <c r="G56">
        <f>Zbiorcza!AV195</f>
        <v>3.6333333333333333</v>
      </c>
      <c r="H56">
        <f>Zbiorcza!AW195</f>
        <v>4212.93</v>
      </c>
      <c r="I56">
        <f>Zbiorcza!AX195</f>
        <v>6636.0344999999998</v>
      </c>
    </row>
    <row r="57" spans="1:9" x14ac:dyDescent="0.25">
      <c r="A57" t="str">
        <f>Zbiorcza!AP196</f>
        <v>I 2017</v>
      </c>
      <c r="B57">
        <f>Zbiorcza!AQ196</f>
        <v>6581.2649999999994</v>
      </c>
      <c r="C57">
        <f>Zbiorcza!AR196</f>
        <v>-1</v>
      </c>
      <c r="D57">
        <f>Zbiorcza!AS196</f>
        <v>-1</v>
      </c>
      <c r="E57">
        <f>Zbiorcza!AT196</f>
        <v>-1</v>
      </c>
      <c r="F57">
        <f>Zbiorcza!AU196</f>
        <v>101.59638406255623</v>
      </c>
      <c r="G57">
        <f>Zbiorcza!AV196</f>
        <v>3.4666666666666668</v>
      </c>
      <c r="H57">
        <f>Zbiorcza!AW196</f>
        <v>4486.54</v>
      </c>
      <c r="I57">
        <f>Zbiorcza!AX196</f>
        <v>6653.6949999999997</v>
      </c>
    </row>
    <row r="58" spans="1:9" x14ac:dyDescent="0.25">
      <c r="A58" t="str">
        <f>Zbiorcza!AP197</f>
        <v>II 2017</v>
      </c>
      <c r="B58">
        <f>Zbiorcza!AQ197</f>
        <v>6446.35</v>
      </c>
      <c r="C58">
        <f>Zbiorcza!AR197</f>
        <v>-1</v>
      </c>
      <c r="D58">
        <f>Zbiorcza!AS197</f>
        <v>-1</v>
      </c>
      <c r="E58">
        <f>Zbiorcza!AT197</f>
        <v>-1</v>
      </c>
      <c r="F58">
        <f>Zbiorcza!AU197</f>
        <v>101.79957683068133</v>
      </c>
      <c r="G58">
        <f>Zbiorcza!AV197</f>
        <v>3.1999999999999997</v>
      </c>
      <c r="H58">
        <f>Zbiorcza!AW197</f>
        <v>4324.72</v>
      </c>
      <c r="I58">
        <f>Zbiorcza!AX197</f>
        <v>6581.2649999999994</v>
      </c>
    </row>
    <row r="59" spans="1:9" x14ac:dyDescent="0.25">
      <c r="A59" t="str">
        <f>Zbiorcza!AP198</f>
        <v>III 2017</v>
      </c>
      <c r="B59">
        <f>Zbiorcza!AQ198</f>
        <v>6588.2150000000001</v>
      </c>
      <c r="C59">
        <f>Zbiorcza!AR198</f>
        <v>-1</v>
      </c>
      <c r="D59">
        <f>Zbiorcza!AS198</f>
        <v>-1</v>
      </c>
      <c r="E59">
        <f>Zbiorcza!AT198</f>
        <v>-1</v>
      </c>
      <c r="F59">
        <f>Zbiorcza!AU198</f>
        <v>101.69777725385066</v>
      </c>
      <c r="G59">
        <f>Zbiorcza!AV198</f>
        <v>3</v>
      </c>
      <c r="H59">
        <f>Zbiorcza!AW198</f>
        <v>4415.87</v>
      </c>
      <c r="I59">
        <f>Zbiorcza!AX198</f>
        <v>6446.35</v>
      </c>
    </row>
    <row r="60" spans="1:9" x14ac:dyDescent="0.25">
      <c r="A60" t="str">
        <f>Zbiorcza!AP199</f>
        <v>IV 2017</v>
      </c>
      <c r="B60">
        <f>Zbiorcza!AQ199</f>
        <v>6440.16</v>
      </c>
      <c r="C60">
        <f>Zbiorcza!AR199</f>
        <v>-1</v>
      </c>
      <c r="D60">
        <f>Zbiorcza!AS199</f>
        <v>-1</v>
      </c>
      <c r="E60">
        <f>Zbiorcza!AT199</f>
        <v>-1</v>
      </c>
      <c r="F60">
        <f>Zbiorcza!AU199</f>
        <v>103.01984835815071</v>
      </c>
      <c r="G60">
        <f>Zbiorcza!AV199</f>
        <v>2.7666666666666671</v>
      </c>
      <c r="H60">
        <f>Zbiorcza!AW199</f>
        <v>4590.72</v>
      </c>
      <c r="I60">
        <f>Zbiorcza!AX199</f>
        <v>6588.2150000000001</v>
      </c>
    </row>
    <row r="61" spans="1:9" x14ac:dyDescent="0.25">
      <c r="A61" t="str">
        <f>Zbiorcza!AP200</f>
        <v>I 2018</v>
      </c>
      <c r="B61">
        <f>Zbiorcza!AQ200</f>
        <v>6579.8450000000003</v>
      </c>
      <c r="C61">
        <f>Zbiorcza!AR200</f>
        <v>-1</v>
      </c>
      <c r="D61">
        <f>Zbiorcza!AS200</f>
        <v>-1</v>
      </c>
      <c r="E61">
        <f>Zbiorcza!AT200</f>
        <v>-1</v>
      </c>
      <c r="F61">
        <f>Zbiorcza!AU200</f>
        <v>103.63796744829962</v>
      </c>
      <c r="G61">
        <f>Zbiorcza!AV200</f>
        <v>2.7000000000000006</v>
      </c>
      <c r="H61">
        <f>Zbiorcza!AW200</f>
        <v>4796.37</v>
      </c>
      <c r="I61">
        <f>Zbiorcza!AX200</f>
        <v>6440.16</v>
      </c>
    </row>
    <row r="62" spans="1:9" x14ac:dyDescent="0.25">
      <c r="A62" t="str">
        <f>Zbiorcza!AP201</f>
        <v>II 2018</v>
      </c>
      <c r="B62">
        <f>Zbiorcza!AQ201</f>
        <v>6544.87</v>
      </c>
      <c r="C62">
        <f>Zbiorcza!AR201</f>
        <v>-1</v>
      </c>
      <c r="D62">
        <f>Zbiorcza!AS201</f>
        <v>-1</v>
      </c>
      <c r="E62">
        <f>Zbiorcza!AT201</f>
        <v>-1</v>
      </c>
      <c r="F62">
        <f>Zbiorcza!AU201</f>
        <v>104.25979525298942</v>
      </c>
      <c r="G62">
        <f>Zbiorcza!AV201</f>
        <v>2.5666666666666669</v>
      </c>
      <c r="H62">
        <f>Zbiorcza!AW201</f>
        <v>4638.08</v>
      </c>
      <c r="I62">
        <f>Zbiorcza!AX201</f>
        <v>6579.8450000000003</v>
      </c>
    </row>
    <row r="63" spans="1:9" x14ac:dyDescent="0.25">
      <c r="A63" t="str">
        <f>Zbiorcza!AP202</f>
        <v>III 2018</v>
      </c>
      <c r="B63">
        <f>Zbiorcza!AQ202</f>
        <v>6942.5649999999996</v>
      </c>
      <c r="C63">
        <f>Zbiorcza!AR202</f>
        <v>-1</v>
      </c>
      <c r="D63">
        <f>Zbiorcza!AS202</f>
        <v>-1</v>
      </c>
      <c r="E63">
        <f>Zbiorcza!AT202</f>
        <v>-1</v>
      </c>
      <c r="F63">
        <f>Zbiorcza!AU202</f>
        <v>104.46831484349539</v>
      </c>
      <c r="G63">
        <f>Zbiorcza!AV202</f>
        <v>2.4666666666666668</v>
      </c>
      <c r="H63">
        <f>Zbiorcza!AW202</f>
        <v>4707.1099999999997</v>
      </c>
      <c r="I63">
        <f>Zbiorcza!AX202</f>
        <v>6544.87</v>
      </c>
    </row>
    <row r="64" spans="1:9" x14ac:dyDescent="0.25">
      <c r="A64" t="str">
        <f>Zbiorcza!AP203</f>
        <v>IV 2018</v>
      </c>
      <c r="B64">
        <f>Zbiorcza!AQ203</f>
        <v>6794.2999999999993</v>
      </c>
      <c r="C64">
        <f>Zbiorcza!AR203</f>
        <v>-1</v>
      </c>
      <c r="D64">
        <f>Zbiorcza!AS203</f>
        <v>-1</v>
      </c>
      <c r="E64">
        <f>Zbiorcza!AT203</f>
        <v>-1</v>
      </c>
      <c r="F64">
        <f>Zbiorcza!AU203</f>
        <v>104.99065641771286</v>
      </c>
      <c r="G64">
        <f>Zbiorcza!AV203</f>
        <v>2.4</v>
      </c>
      <c r="H64">
        <f>Zbiorcza!AW203</f>
        <v>4901.28</v>
      </c>
      <c r="I64">
        <f>Zbiorcza!AX203</f>
        <v>6942.5649999999996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opLeftCell="A34" workbookViewId="0">
      <selection activeCell="I5" sqref="I5"/>
    </sheetView>
  </sheetViews>
  <sheetFormatPr defaultRowHeight="15" x14ac:dyDescent="0.25"/>
  <cols>
    <col min="2" max="2" width="9.140625" customWidth="1"/>
    <col min="3" max="3" width="12.85546875" customWidth="1"/>
    <col min="4" max="4" width="13.42578125" customWidth="1"/>
    <col min="5" max="5" width="13.140625" customWidth="1"/>
    <col min="6" max="6" width="11.7109375" customWidth="1"/>
    <col min="7" max="7" width="6.7109375" customWidth="1"/>
    <col min="8" max="8" width="9.7109375" customWidth="1"/>
  </cols>
  <sheetData>
    <row r="1" spans="1:8" x14ac:dyDescent="0.25">
      <c r="A1" s="33" t="str">
        <f>Zbiorcza!AF208</f>
        <v>Kw</v>
      </c>
      <c r="B1" s="33" t="str">
        <f>Zbiorcza!AG208</f>
        <v>Cena</v>
      </c>
      <c r="C1" s="33" t="str">
        <f>Zbiorcza!AH208</f>
        <v>M_do35</v>
      </c>
      <c r="D1" s="33" t="str">
        <f>Zbiorcza!AI208</f>
        <v>M_35-50</v>
      </c>
      <c r="E1" s="33" t="str">
        <f>Zbiorcza!AJ208</f>
        <v>M_50-80</v>
      </c>
      <c r="F1" s="33" t="str">
        <f>Zbiorcza!AK208</f>
        <v>Wsk_cen</v>
      </c>
      <c r="G1" s="33" t="str">
        <f>Zbiorcza!AL208</f>
        <v>Bezr</v>
      </c>
      <c r="H1" s="33" t="str">
        <f>Zbiorcza!AM208</f>
        <v>W</v>
      </c>
    </row>
    <row r="2" spans="1:8" x14ac:dyDescent="0.25">
      <c r="A2" s="33" t="str">
        <f>Zbiorcza!AF209</f>
        <v>I 2015</v>
      </c>
      <c r="B2" s="33">
        <f>Zbiorcza!AG209</f>
        <v>7857.91</v>
      </c>
      <c r="C2" s="33">
        <f>Zbiorcza!AH209</f>
        <v>1</v>
      </c>
      <c r="D2" s="33">
        <f>Zbiorcza!AI209</f>
        <v>0</v>
      </c>
      <c r="E2" s="33">
        <f>Zbiorcza!AJ209</f>
        <v>0</v>
      </c>
      <c r="F2" s="33">
        <f>Zbiorcza!AK209</f>
        <v>100</v>
      </c>
      <c r="G2" s="33">
        <f>Zbiorcza!AL209</f>
        <v>4.2333333333333334</v>
      </c>
      <c r="H2" s="33">
        <f>Zbiorcza!AM209</f>
        <v>5267.32</v>
      </c>
    </row>
    <row r="3" spans="1:8" x14ac:dyDescent="0.25">
      <c r="A3" s="33" t="str">
        <f>Zbiorcza!AF210</f>
        <v>II 2015</v>
      </c>
      <c r="B3" s="33">
        <f>Zbiorcza!AG210</f>
        <v>8284.02</v>
      </c>
      <c r="C3" s="33">
        <f>Zbiorcza!AH210</f>
        <v>1</v>
      </c>
      <c r="D3" s="33">
        <f>Zbiorcza!AI210</f>
        <v>0</v>
      </c>
      <c r="E3" s="33">
        <f>Zbiorcza!AJ210</f>
        <v>0</v>
      </c>
      <c r="F3" s="33">
        <f>Zbiorcza!AK210</f>
        <v>100.49999999999999</v>
      </c>
      <c r="G3" s="33">
        <f>Zbiorcza!AL210</f>
        <v>3.9666666666666663</v>
      </c>
      <c r="H3" s="33">
        <f>Zbiorcza!AM210</f>
        <v>5036.68</v>
      </c>
    </row>
    <row r="4" spans="1:8" x14ac:dyDescent="0.25">
      <c r="A4" s="33" t="str">
        <f>Zbiorcza!AF211</f>
        <v>III 2015</v>
      </c>
      <c r="B4" s="33">
        <f>Zbiorcza!AG211</f>
        <v>8159.41</v>
      </c>
      <c r="C4" s="33">
        <f>Zbiorcza!AH211</f>
        <v>1</v>
      </c>
      <c r="D4" s="33">
        <f>Zbiorcza!AI211</f>
        <v>0</v>
      </c>
      <c r="E4" s="33">
        <f>Zbiorcza!AJ211</f>
        <v>0</v>
      </c>
      <c r="F4" s="33">
        <f>Zbiorcza!AK211</f>
        <v>100.09799999999998</v>
      </c>
      <c r="G4" s="33">
        <f>Zbiorcza!AL211</f>
        <v>3.7666666666666671</v>
      </c>
      <c r="H4" s="33">
        <f>Zbiorcza!AM211</f>
        <v>5002.71</v>
      </c>
    </row>
    <row r="5" spans="1:8" x14ac:dyDescent="0.25">
      <c r="A5" s="33" t="str">
        <f>Zbiorcza!AF212</f>
        <v>IV 2015</v>
      </c>
      <c r="B5" s="33">
        <f>Zbiorcza!AG212</f>
        <v>7800.35</v>
      </c>
      <c r="C5" s="33">
        <f>Zbiorcza!AH212</f>
        <v>1</v>
      </c>
      <c r="D5" s="33">
        <f>Zbiorcza!AI212</f>
        <v>0</v>
      </c>
      <c r="E5" s="33">
        <f>Zbiorcza!AJ212</f>
        <v>0</v>
      </c>
      <c r="F5" s="33">
        <f>Zbiorcza!AK212</f>
        <v>99.897803999999979</v>
      </c>
      <c r="G5" s="33">
        <f>Zbiorcza!AL212</f>
        <v>3.4666666666666663</v>
      </c>
      <c r="H5" s="33">
        <f>Zbiorcza!AM212</f>
        <v>5231.3</v>
      </c>
    </row>
    <row r="6" spans="1:8" x14ac:dyDescent="0.25">
      <c r="A6" s="33" t="str">
        <f>Zbiorcza!AF213</f>
        <v>I 2016</v>
      </c>
      <c r="B6" s="33">
        <f>Zbiorcza!AG213</f>
        <v>7926.01</v>
      </c>
      <c r="C6" s="33">
        <f>Zbiorcza!AH213</f>
        <v>1</v>
      </c>
      <c r="D6" s="33">
        <f>Zbiorcza!AI213</f>
        <v>0</v>
      </c>
      <c r="E6" s="33">
        <f>Zbiorcza!AJ213</f>
        <v>0</v>
      </c>
      <c r="F6" s="33">
        <f>Zbiorcza!AK213</f>
        <v>99.198519371999978</v>
      </c>
      <c r="G6" s="33">
        <f>Zbiorcza!AL213</f>
        <v>3.3666666666666667</v>
      </c>
      <c r="H6" s="33">
        <f>Zbiorcza!AM213</f>
        <v>5435.95</v>
      </c>
    </row>
    <row r="7" spans="1:8" x14ac:dyDescent="0.25">
      <c r="A7" s="33" t="str">
        <f>Zbiorcza!AF214</f>
        <v>II 2016</v>
      </c>
      <c r="B7" s="33">
        <f>Zbiorcza!AG214</f>
        <v>8131.97</v>
      </c>
      <c r="C7" s="33">
        <f>Zbiorcza!AH214</f>
        <v>1</v>
      </c>
      <c r="D7" s="33">
        <f>Zbiorcza!AI214</f>
        <v>0</v>
      </c>
      <c r="E7" s="33">
        <f>Zbiorcza!AJ214</f>
        <v>0</v>
      </c>
      <c r="F7" s="33">
        <f>Zbiorcza!AK214</f>
        <v>99.69451196885997</v>
      </c>
      <c r="G7" s="33">
        <f>Zbiorcza!AL214</f>
        <v>3.1999999999999997</v>
      </c>
      <c r="H7" s="33">
        <f>Zbiorcza!AM214</f>
        <v>5215.26</v>
      </c>
    </row>
    <row r="8" spans="1:8" x14ac:dyDescent="0.25">
      <c r="A8" s="33" t="str">
        <f>Zbiorcza!AF215</f>
        <v>III 2016</v>
      </c>
      <c r="B8" s="33">
        <f>Zbiorcza!AG215</f>
        <v>8088.39</v>
      </c>
      <c r="C8" s="33">
        <f>Zbiorcza!AH215</f>
        <v>1</v>
      </c>
      <c r="D8" s="33">
        <f>Zbiorcza!AI215</f>
        <v>0</v>
      </c>
      <c r="E8" s="33">
        <f>Zbiorcza!AJ215</f>
        <v>0</v>
      </c>
      <c r="F8" s="33">
        <f>Zbiorcza!AK215</f>
        <v>99.395428432953395</v>
      </c>
      <c r="G8" s="33">
        <f>Zbiorcza!AL215</f>
        <v>3.0333333333333332</v>
      </c>
      <c r="H8" s="33">
        <f>Zbiorcza!AM215</f>
        <v>5147.24</v>
      </c>
    </row>
    <row r="9" spans="1:8" x14ac:dyDescent="0.25">
      <c r="A9" s="33" t="str">
        <f>Zbiorcza!AF216</f>
        <v>IV 2016</v>
      </c>
      <c r="B9" s="33">
        <f>Zbiorcza!AG216</f>
        <v>8025.11</v>
      </c>
      <c r="C9" s="33">
        <f>Zbiorcza!AH216</f>
        <v>1</v>
      </c>
      <c r="D9" s="33">
        <f>Zbiorcza!AI216</f>
        <v>0</v>
      </c>
      <c r="E9" s="33">
        <f>Zbiorcza!AJ216</f>
        <v>0</v>
      </c>
      <c r="F9" s="33">
        <f>Zbiorcza!AK216</f>
        <v>100.19059186041703</v>
      </c>
      <c r="G9" s="33">
        <f>Zbiorcza!AL216</f>
        <v>2.7666666666666662</v>
      </c>
      <c r="H9" s="33">
        <f>Zbiorcza!AM216</f>
        <v>5403.01</v>
      </c>
    </row>
    <row r="10" spans="1:8" x14ac:dyDescent="0.25">
      <c r="A10" s="33" t="str">
        <f>Zbiorcza!AF217</f>
        <v>I 2017</v>
      </c>
      <c r="B10" s="33">
        <f>Zbiorcza!AG217</f>
        <v>7829.23</v>
      </c>
      <c r="C10" s="33">
        <f>Zbiorcza!AH217</f>
        <v>1</v>
      </c>
      <c r="D10" s="33">
        <f>Zbiorcza!AI217</f>
        <v>0</v>
      </c>
      <c r="E10" s="33">
        <f>Zbiorcza!AJ217</f>
        <v>0</v>
      </c>
      <c r="F10" s="33">
        <f>Zbiorcza!AK217</f>
        <v>101.1924977790212</v>
      </c>
      <c r="G10" s="33">
        <f>Zbiorcza!AL217</f>
        <v>2.6333333333333333</v>
      </c>
      <c r="H10" s="33">
        <f>Zbiorcza!AM217</f>
        <v>5600.99</v>
      </c>
    </row>
    <row r="11" spans="1:8" x14ac:dyDescent="0.25">
      <c r="A11" s="33" t="str">
        <f>Zbiorcza!AF218</f>
        <v>II 2017</v>
      </c>
      <c r="B11" s="33">
        <f>Zbiorcza!AG218</f>
        <v>7625.9</v>
      </c>
      <c r="C11" s="33">
        <f>Zbiorcza!AH218</f>
        <v>1</v>
      </c>
      <c r="D11" s="33">
        <f>Zbiorcza!AI218</f>
        <v>0</v>
      </c>
      <c r="E11" s="33">
        <f>Zbiorcza!AJ218</f>
        <v>0</v>
      </c>
      <c r="F11" s="33">
        <f>Zbiorcza!AK218</f>
        <v>101.59726777013728</v>
      </c>
      <c r="G11" s="33">
        <f>Zbiorcza!AL218</f>
        <v>2.4333333333333336</v>
      </c>
      <c r="H11" s="33">
        <f>Zbiorcza!AM218</f>
        <v>5459.95</v>
      </c>
    </row>
    <row r="12" spans="1:8" x14ac:dyDescent="0.25">
      <c r="A12" s="33" t="str">
        <f>Zbiorcza!AF219</f>
        <v>III 2017</v>
      </c>
      <c r="B12" s="33">
        <f>Zbiorcza!AG219</f>
        <v>7988.82</v>
      </c>
      <c r="C12" s="33">
        <f>Zbiorcza!AH219</f>
        <v>1</v>
      </c>
      <c r="D12" s="33">
        <f>Zbiorcza!AI219</f>
        <v>0</v>
      </c>
      <c r="E12" s="33">
        <f>Zbiorcza!AJ219</f>
        <v>0</v>
      </c>
      <c r="F12" s="33">
        <f>Zbiorcza!AK219</f>
        <v>101.19087869905673</v>
      </c>
      <c r="G12" s="33">
        <f>Zbiorcza!AL219</f>
        <v>2.2999999999999998</v>
      </c>
      <c r="H12" s="33">
        <f>Zbiorcza!AM219</f>
        <v>5412.94</v>
      </c>
    </row>
    <row r="13" spans="1:8" x14ac:dyDescent="0.25">
      <c r="A13" s="33" t="str">
        <f>Zbiorcza!AF220</f>
        <v>IV 2017</v>
      </c>
      <c r="B13" s="33">
        <f>Zbiorcza!AG220</f>
        <v>7865.69</v>
      </c>
      <c r="C13" s="33">
        <f>Zbiorcza!AH220</f>
        <v>1</v>
      </c>
      <c r="D13" s="33">
        <f>Zbiorcza!AI220</f>
        <v>0</v>
      </c>
      <c r="E13" s="33">
        <f>Zbiorcza!AJ220</f>
        <v>0</v>
      </c>
      <c r="F13" s="33">
        <f>Zbiorcza!AK220</f>
        <v>102.30397836474634</v>
      </c>
      <c r="G13" s="33">
        <f>Zbiorcza!AL220</f>
        <v>2.0666666666666669</v>
      </c>
      <c r="H13" s="33">
        <f>Zbiorcza!AM220</f>
        <v>5800.4</v>
      </c>
    </row>
    <row r="14" spans="1:8" x14ac:dyDescent="0.25">
      <c r="A14" s="33" t="str">
        <f>Zbiorcza!AF221</f>
        <v>I 2018</v>
      </c>
      <c r="B14" s="33">
        <f>Zbiorcza!AG221</f>
        <v>8881.44</v>
      </c>
      <c r="C14" s="33">
        <f>Zbiorcza!AH221</f>
        <v>1</v>
      </c>
      <c r="D14" s="33">
        <f>Zbiorcza!AI221</f>
        <v>0</v>
      </c>
      <c r="E14" s="33">
        <f>Zbiorcza!AJ221</f>
        <v>0</v>
      </c>
      <c r="F14" s="33">
        <f>Zbiorcza!AK221</f>
        <v>102.71319427820532</v>
      </c>
      <c r="G14" s="33">
        <f>Zbiorcza!AL221</f>
        <v>1.9666666666666668</v>
      </c>
      <c r="H14" s="33">
        <f>Zbiorcza!AM221</f>
        <v>5973.72</v>
      </c>
    </row>
    <row r="15" spans="1:8" x14ac:dyDescent="0.25">
      <c r="A15" s="33" t="str">
        <f>Zbiorcza!AF222</f>
        <v>II 2018</v>
      </c>
      <c r="B15" s="33">
        <f>Zbiorcza!AG222</f>
        <v>8852.2199999999993</v>
      </c>
      <c r="C15" s="33">
        <f>Zbiorcza!AH222</f>
        <v>1</v>
      </c>
      <c r="D15" s="33">
        <f>Zbiorcza!AI222</f>
        <v>0</v>
      </c>
      <c r="E15" s="33">
        <f>Zbiorcza!AJ222</f>
        <v>0</v>
      </c>
      <c r="F15" s="33">
        <f>Zbiorcza!AK222</f>
        <v>103.32947344387455</v>
      </c>
      <c r="G15" s="33">
        <f>Zbiorcza!AL222</f>
        <v>1.7666666666666666</v>
      </c>
      <c r="H15" s="33">
        <f>Zbiorcza!AM222</f>
        <v>5817.31</v>
      </c>
    </row>
    <row r="16" spans="1:8" x14ac:dyDescent="0.25">
      <c r="A16" s="33" t="str">
        <f>Zbiorcza!AF223</f>
        <v>III 2018</v>
      </c>
      <c r="B16" s="33">
        <f>Zbiorcza!AG223</f>
        <v>8981.01</v>
      </c>
      <c r="C16" s="33">
        <f>Zbiorcza!AH223</f>
        <v>1</v>
      </c>
      <c r="D16" s="33">
        <f>Zbiorcza!AI223</f>
        <v>0</v>
      </c>
      <c r="E16" s="33">
        <f>Zbiorcza!AJ223</f>
        <v>0</v>
      </c>
      <c r="F16" s="33">
        <f>Zbiorcza!AK223</f>
        <v>103.12281449698681</v>
      </c>
      <c r="G16" s="33">
        <f>Zbiorcza!AL223</f>
        <v>1.6666666666666667</v>
      </c>
      <c r="H16" s="33">
        <f>Zbiorcza!AM223</f>
        <v>5788.92</v>
      </c>
    </row>
    <row r="17" spans="1:8" x14ac:dyDescent="0.25">
      <c r="A17" s="33" t="str">
        <f>Zbiorcza!AF224</f>
        <v>IV 2018</v>
      </c>
      <c r="B17" s="33">
        <f>Zbiorcza!AG224</f>
        <v>8999.6</v>
      </c>
      <c r="C17" s="33">
        <f>Zbiorcza!AH224</f>
        <v>1</v>
      </c>
      <c r="D17" s="33">
        <f>Zbiorcza!AI224</f>
        <v>0</v>
      </c>
      <c r="E17" s="33">
        <f>Zbiorcza!AJ224</f>
        <v>0</v>
      </c>
      <c r="F17" s="33">
        <f>Zbiorcza!AK224</f>
        <v>103.74155138396873</v>
      </c>
      <c r="G17" s="33">
        <f>Zbiorcza!AL224</f>
        <v>1.5</v>
      </c>
      <c r="H17" s="33">
        <f>Zbiorcza!AM224</f>
        <v>6131.29</v>
      </c>
    </row>
    <row r="18" spans="1:8" x14ac:dyDescent="0.25">
      <c r="A18" s="33" t="str">
        <f>Zbiorcza!AF225</f>
        <v>I 2015</v>
      </c>
      <c r="B18" s="33">
        <f>Zbiorcza!AG225</f>
        <v>7295.7250000000004</v>
      </c>
      <c r="C18" s="33">
        <f>Zbiorcza!AH225</f>
        <v>0</v>
      </c>
      <c r="D18" s="33">
        <f>Zbiorcza!AI225</f>
        <v>1</v>
      </c>
      <c r="E18" s="33">
        <f>Zbiorcza!AJ225</f>
        <v>0</v>
      </c>
      <c r="F18" s="33">
        <f>Zbiorcza!AK225</f>
        <v>100</v>
      </c>
      <c r="G18" s="33">
        <f>Zbiorcza!AL225</f>
        <v>4.2333333333333334</v>
      </c>
      <c r="H18" s="33">
        <f>Zbiorcza!AM225</f>
        <v>5267.32</v>
      </c>
    </row>
    <row r="19" spans="1:8" x14ac:dyDescent="0.25">
      <c r="A19" s="33" t="str">
        <f>Zbiorcza!AF226</f>
        <v>II 2015</v>
      </c>
      <c r="B19" s="33">
        <f>Zbiorcza!AG226</f>
        <v>7377.2550000000001</v>
      </c>
      <c r="C19" s="33">
        <f>Zbiorcza!AH226</f>
        <v>0</v>
      </c>
      <c r="D19" s="33">
        <f>Zbiorcza!AI226</f>
        <v>1</v>
      </c>
      <c r="E19" s="33">
        <f>Zbiorcza!AJ226</f>
        <v>0</v>
      </c>
      <c r="F19" s="33">
        <f>Zbiorcza!AK226</f>
        <v>100.49999999999999</v>
      </c>
      <c r="G19" s="33">
        <f>Zbiorcza!AL226</f>
        <v>3.9666666666666663</v>
      </c>
      <c r="H19" s="33">
        <f>Zbiorcza!AM226</f>
        <v>5036.68</v>
      </c>
    </row>
    <row r="20" spans="1:8" x14ac:dyDescent="0.25">
      <c r="A20" s="33" t="str">
        <f>Zbiorcza!AF227</f>
        <v>III 2015</v>
      </c>
      <c r="B20" s="33">
        <f>Zbiorcza!AG227</f>
        <v>7272.625</v>
      </c>
      <c r="C20" s="33">
        <f>Zbiorcza!AH227</f>
        <v>0</v>
      </c>
      <c r="D20" s="33">
        <f>Zbiorcza!AI227</f>
        <v>1</v>
      </c>
      <c r="E20" s="33">
        <f>Zbiorcza!AJ227</f>
        <v>0</v>
      </c>
      <c r="F20" s="33">
        <f>Zbiorcza!AK227</f>
        <v>100.09799999999998</v>
      </c>
      <c r="G20" s="33">
        <f>Zbiorcza!AL227</f>
        <v>3.7666666666666671</v>
      </c>
      <c r="H20" s="33">
        <f>Zbiorcza!AM227</f>
        <v>5002.71</v>
      </c>
    </row>
    <row r="21" spans="1:8" x14ac:dyDescent="0.25">
      <c r="A21" s="33" t="str">
        <f>Zbiorcza!AF228</f>
        <v>IV 2015</v>
      </c>
      <c r="B21" s="33">
        <f>Zbiorcza!AG228</f>
        <v>7066.26</v>
      </c>
      <c r="C21" s="33">
        <f>Zbiorcza!AH228</f>
        <v>0</v>
      </c>
      <c r="D21" s="33">
        <f>Zbiorcza!AI228</f>
        <v>1</v>
      </c>
      <c r="E21" s="33">
        <f>Zbiorcza!AJ228</f>
        <v>0</v>
      </c>
      <c r="F21" s="33">
        <f>Zbiorcza!AK228</f>
        <v>99.897803999999979</v>
      </c>
      <c r="G21" s="33">
        <f>Zbiorcza!AL228</f>
        <v>3.4666666666666663</v>
      </c>
      <c r="H21" s="33">
        <f>Zbiorcza!AM228</f>
        <v>5231.3</v>
      </c>
    </row>
    <row r="22" spans="1:8" x14ac:dyDescent="0.25">
      <c r="A22" s="33" t="str">
        <f>Zbiorcza!AF229</f>
        <v>I 2016</v>
      </c>
      <c r="B22" s="33">
        <f>Zbiorcza!AG229</f>
        <v>7237.9750000000004</v>
      </c>
      <c r="C22" s="33">
        <f>Zbiorcza!AH229</f>
        <v>0</v>
      </c>
      <c r="D22" s="33">
        <f>Zbiorcza!AI229</f>
        <v>1</v>
      </c>
      <c r="E22" s="33">
        <f>Zbiorcza!AJ229</f>
        <v>0</v>
      </c>
      <c r="F22" s="33">
        <f>Zbiorcza!AK229</f>
        <v>99.198519371999978</v>
      </c>
      <c r="G22" s="33">
        <f>Zbiorcza!AL229</f>
        <v>3.3666666666666667</v>
      </c>
      <c r="H22" s="33">
        <f>Zbiorcza!AM229</f>
        <v>5435.95</v>
      </c>
    </row>
    <row r="23" spans="1:8" x14ac:dyDescent="0.25">
      <c r="A23" s="33" t="str">
        <f>Zbiorcza!AF230</f>
        <v>II 2016</v>
      </c>
      <c r="B23" s="33">
        <f>Zbiorcza!AG230</f>
        <v>7504.75</v>
      </c>
      <c r="C23" s="33">
        <f>Zbiorcza!AH230</f>
        <v>0</v>
      </c>
      <c r="D23" s="33">
        <f>Zbiorcza!AI230</f>
        <v>1</v>
      </c>
      <c r="E23" s="33">
        <f>Zbiorcza!AJ230</f>
        <v>0</v>
      </c>
      <c r="F23" s="33">
        <f>Zbiorcza!AK230</f>
        <v>99.69451196885997</v>
      </c>
      <c r="G23" s="33">
        <f>Zbiorcza!AL230</f>
        <v>3.1999999999999997</v>
      </c>
      <c r="H23" s="33">
        <f>Zbiorcza!AM230</f>
        <v>5215.26</v>
      </c>
    </row>
    <row r="24" spans="1:8" x14ac:dyDescent="0.25">
      <c r="A24" s="33" t="str">
        <f>Zbiorcza!AF231</f>
        <v>III 2016</v>
      </c>
      <c r="B24" s="33">
        <f>Zbiorcza!AG231</f>
        <v>7340.4050000000007</v>
      </c>
      <c r="C24" s="33">
        <f>Zbiorcza!AH231</f>
        <v>0</v>
      </c>
      <c r="D24" s="33">
        <f>Zbiorcza!AI231</f>
        <v>1</v>
      </c>
      <c r="E24" s="33">
        <f>Zbiorcza!AJ231</f>
        <v>0</v>
      </c>
      <c r="F24" s="33">
        <f>Zbiorcza!AK231</f>
        <v>99.395428432953395</v>
      </c>
      <c r="G24" s="33">
        <f>Zbiorcza!AL231</f>
        <v>3.0333333333333332</v>
      </c>
      <c r="H24" s="33">
        <f>Zbiorcza!AM231</f>
        <v>5147.24</v>
      </c>
    </row>
    <row r="25" spans="1:8" x14ac:dyDescent="0.25">
      <c r="A25" s="33" t="str">
        <f>Zbiorcza!AF232</f>
        <v>IV 2016</v>
      </c>
      <c r="B25" s="33">
        <f>Zbiorcza!AG232</f>
        <v>7423.6450000000004</v>
      </c>
      <c r="C25" s="33">
        <f>Zbiorcza!AH232</f>
        <v>0</v>
      </c>
      <c r="D25" s="33">
        <f>Zbiorcza!AI232</f>
        <v>1</v>
      </c>
      <c r="E25" s="33">
        <f>Zbiorcza!AJ232</f>
        <v>0</v>
      </c>
      <c r="F25" s="33">
        <f>Zbiorcza!AK232</f>
        <v>100.19059186041703</v>
      </c>
      <c r="G25" s="33">
        <f>Zbiorcza!AL232</f>
        <v>2.7666666666666662</v>
      </c>
      <c r="H25" s="33">
        <f>Zbiorcza!AM232</f>
        <v>5403.01</v>
      </c>
    </row>
    <row r="26" spans="1:8" x14ac:dyDescent="0.25">
      <c r="A26" s="33" t="str">
        <f>Zbiorcza!AF233</f>
        <v>I 2017</v>
      </c>
      <c r="B26" s="33">
        <f>Zbiorcza!AG233</f>
        <v>7211.9400000000005</v>
      </c>
      <c r="C26" s="33">
        <f>Zbiorcza!AH233</f>
        <v>0</v>
      </c>
      <c r="D26" s="33">
        <f>Zbiorcza!AI233</f>
        <v>1</v>
      </c>
      <c r="E26" s="33">
        <f>Zbiorcza!AJ233</f>
        <v>0</v>
      </c>
      <c r="F26" s="33">
        <f>Zbiorcza!AK233</f>
        <v>101.1924977790212</v>
      </c>
      <c r="G26" s="33">
        <f>Zbiorcza!AL233</f>
        <v>2.6333333333333333</v>
      </c>
      <c r="H26" s="33">
        <f>Zbiorcza!AM233</f>
        <v>5600.99</v>
      </c>
    </row>
    <row r="27" spans="1:8" x14ac:dyDescent="0.25">
      <c r="A27" s="33" t="str">
        <f>Zbiorcza!AF234</f>
        <v>II 2017</v>
      </c>
      <c r="B27" s="33">
        <f>Zbiorcza!AG234</f>
        <v>7377.6149999999998</v>
      </c>
      <c r="C27" s="33">
        <f>Zbiorcza!AH234</f>
        <v>0</v>
      </c>
      <c r="D27" s="33">
        <f>Zbiorcza!AI234</f>
        <v>1</v>
      </c>
      <c r="E27" s="33">
        <f>Zbiorcza!AJ234</f>
        <v>0</v>
      </c>
      <c r="F27" s="33">
        <f>Zbiorcza!AK234</f>
        <v>101.59726777013728</v>
      </c>
      <c r="G27" s="33">
        <f>Zbiorcza!AL234</f>
        <v>2.4333333333333336</v>
      </c>
      <c r="H27" s="33">
        <f>Zbiorcza!AM234</f>
        <v>5459.95</v>
      </c>
    </row>
    <row r="28" spans="1:8" x14ac:dyDescent="0.25">
      <c r="A28" s="33" t="str">
        <f>Zbiorcza!AF235</f>
        <v>III 2017</v>
      </c>
      <c r="B28" s="33">
        <f>Zbiorcza!AG235</f>
        <v>7641.6849999999995</v>
      </c>
      <c r="C28" s="33">
        <f>Zbiorcza!AH235</f>
        <v>0</v>
      </c>
      <c r="D28" s="33">
        <f>Zbiorcza!AI235</f>
        <v>1</v>
      </c>
      <c r="E28" s="33">
        <f>Zbiorcza!AJ235</f>
        <v>0</v>
      </c>
      <c r="F28" s="33">
        <f>Zbiorcza!AK235</f>
        <v>101.19087869905673</v>
      </c>
      <c r="G28" s="33">
        <f>Zbiorcza!AL235</f>
        <v>2.2999999999999998</v>
      </c>
      <c r="H28" s="33">
        <f>Zbiorcza!AM235</f>
        <v>5412.94</v>
      </c>
    </row>
    <row r="29" spans="1:8" x14ac:dyDescent="0.25">
      <c r="A29" s="33" t="str">
        <f>Zbiorcza!AF236</f>
        <v>IV 2017</v>
      </c>
      <c r="B29" s="33">
        <f>Zbiorcza!AG236</f>
        <v>7722.9349999999995</v>
      </c>
      <c r="C29" s="33">
        <f>Zbiorcza!AH236</f>
        <v>0</v>
      </c>
      <c r="D29" s="33">
        <f>Zbiorcza!AI236</f>
        <v>1</v>
      </c>
      <c r="E29" s="33">
        <f>Zbiorcza!AJ236</f>
        <v>0</v>
      </c>
      <c r="F29" s="33">
        <f>Zbiorcza!AK236</f>
        <v>102.30397836474634</v>
      </c>
      <c r="G29" s="33">
        <f>Zbiorcza!AL236</f>
        <v>2.0666666666666669</v>
      </c>
      <c r="H29" s="33">
        <f>Zbiorcza!AM236</f>
        <v>5800.4</v>
      </c>
    </row>
    <row r="30" spans="1:8" x14ac:dyDescent="0.25">
      <c r="A30" s="33" t="str">
        <f>Zbiorcza!AF237</f>
        <v>I 2018</v>
      </c>
      <c r="B30" s="33">
        <f>Zbiorcza!AG237</f>
        <v>8077.5749999999998</v>
      </c>
      <c r="C30" s="33">
        <f>Zbiorcza!AH237</f>
        <v>0</v>
      </c>
      <c r="D30" s="33">
        <f>Zbiorcza!AI237</f>
        <v>1</v>
      </c>
      <c r="E30" s="33">
        <f>Zbiorcza!AJ237</f>
        <v>0</v>
      </c>
      <c r="F30" s="33">
        <f>Zbiorcza!AK237</f>
        <v>102.71319427820532</v>
      </c>
      <c r="G30" s="33">
        <f>Zbiorcza!AL237</f>
        <v>1.9666666666666668</v>
      </c>
      <c r="H30" s="33">
        <f>Zbiorcza!AM237</f>
        <v>5973.72</v>
      </c>
    </row>
    <row r="31" spans="1:8" x14ac:dyDescent="0.25">
      <c r="A31" s="33" t="str">
        <f>Zbiorcza!AF238</f>
        <v>II 2018</v>
      </c>
      <c r="B31" s="33">
        <f>Zbiorcza!AG238</f>
        <v>8127.4</v>
      </c>
      <c r="C31" s="33">
        <f>Zbiorcza!AH238</f>
        <v>0</v>
      </c>
      <c r="D31" s="33">
        <f>Zbiorcza!AI238</f>
        <v>1</v>
      </c>
      <c r="E31" s="33">
        <f>Zbiorcza!AJ238</f>
        <v>0</v>
      </c>
      <c r="F31" s="33">
        <f>Zbiorcza!AK238</f>
        <v>103.32947344387455</v>
      </c>
      <c r="G31" s="33">
        <f>Zbiorcza!AL238</f>
        <v>1.7666666666666666</v>
      </c>
      <c r="H31" s="33">
        <f>Zbiorcza!AM238</f>
        <v>5817.31</v>
      </c>
    </row>
    <row r="32" spans="1:8" x14ac:dyDescent="0.25">
      <c r="A32" s="33" t="str">
        <f>Zbiorcza!AF239</f>
        <v>III 2018</v>
      </c>
      <c r="B32" s="33">
        <f>Zbiorcza!AG239</f>
        <v>8296.8050000000003</v>
      </c>
      <c r="C32" s="33">
        <f>Zbiorcza!AH239</f>
        <v>0</v>
      </c>
      <c r="D32" s="33">
        <f>Zbiorcza!AI239</f>
        <v>1</v>
      </c>
      <c r="E32" s="33">
        <f>Zbiorcza!AJ239</f>
        <v>0</v>
      </c>
      <c r="F32" s="33">
        <f>Zbiorcza!AK239</f>
        <v>103.12281449698681</v>
      </c>
      <c r="G32" s="33">
        <f>Zbiorcza!AL239</f>
        <v>1.6666666666666667</v>
      </c>
      <c r="H32" s="33">
        <f>Zbiorcza!AM239</f>
        <v>5788.92</v>
      </c>
    </row>
    <row r="33" spans="1:8" x14ac:dyDescent="0.25">
      <c r="A33" s="33" t="str">
        <f>Zbiorcza!AF240</f>
        <v>IV 2018</v>
      </c>
      <c r="B33" s="33">
        <f>Zbiorcza!AG240</f>
        <v>8415.625</v>
      </c>
      <c r="C33" s="33">
        <f>Zbiorcza!AH240</f>
        <v>0</v>
      </c>
      <c r="D33" s="33">
        <f>Zbiorcza!AI240</f>
        <v>1</v>
      </c>
      <c r="E33" s="33">
        <f>Zbiorcza!AJ240</f>
        <v>0</v>
      </c>
      <c r="F33" s="33">
        <f>Zbiorcza!AK240</f>
        <v>103.74155138396873</v>
      </c>
      <c r="G33" s="33">
        <f>Zbiorcza!AL240</f>
        <v>1.5</v>
      </c>
      <c r="H33" s="33">
        <f>Zbiorcza!AM240</f>
        <v>6131.29</v>
      </c>
    </row>
    <row r="34" spans="1:8" x14ac:dyDescent="0.25">
      <c r="A34" s="33" t="str">
        <f>Zbiorcza!AF241</f>
        <v>I 2015</v>
      </c>
      <c r="B34" s="33">
        <f>Zbiorcza!AG241</f>
        <v>7421.6533333333327</v>
      </c>
      <c r="C34" s="33">
        <f>Zbiorcza!AH241</f>
        <v>0</v>
      </c>
      <c r="D34" s="33">
        <f>Zbiorcza!AI241</f>
        <v>0</v>
      </c>
      <c r="E34" s="33">
        <f>Zbiorcza!AJ241</f>
        <v>1</v>
      </c>
      <c r="F34" s="33">
        <f>Zbiorcza!AK241</f>
        <v>100</v>
      </c>
      <c r="G34" s="33">
        <f>Zbiorcza!AL241</f>
        <v>4.2333333333333334</v>
      </c>
      <c r="H34" s="33">
        <f>Zbiorcza!AM241</f>
        <v>5267.32</v>
      </c>
    </row>
    <row r="35" spans="1:8" x14ac:dyDescent="0.25">
      <c r="A35" s="33" t="str">
        <f>Zbiorcza!AF242</f>
        <v>II 2015</v>
      </c>
      <c r="B35" s="33">
        <f>Zbiorcza!AG242</f>
        <v>7515.3766666666661</v>
      </c>
      <c r="C35" s="33">
        <f>Zbiorcza!AH242</f>
        <v>0</v>
      </c>
      <c r="D35" s="33">
        <f>Zbiorcza!AI242</f>
        <v>0</v>
      </c>
      <c r="E35" s="33">
        <f>Zbiorcza!AJ242</f>
        <v>1</v>
      </c>
      <c r="F35" s="33">
        <f>Zbiorcza!AK242</f>
        <v>100.49999999999999</v>
      </c>
      <c r="G35" s="33">
        <f>Zbiorcza!AL242</f>
        <v>3.9666666666666663</v>
      </c>
      <c r="H35" s="33">
        <f>Zbiorcza!AM242</f>
        <v>5036.68</v>
      </c>
    </row>
    <row r="36" spans="1:8" x14ac:dyDescent="0.25">
      <c r="A36" s="33" t="str">
        <f>Zbiorcza!AF243</f>
        <v>III 2015</v>
      </c>
      <c r="B36" s="33">
        <f>Zbiorcza!AG243</f>
        <v>7425.706666666666</v>
      </c>
      <c r="C36" s="33">
        <f>Zbiorcza!AH243</f>
        <v>0</v>
      </c>
      <c r="D36" s="33">
        <f>Zbiorcza!AI243</f>
        <v>0</v>
      </c>
      <c r="E36" s="33">
        <f>Zbiorcza!AJ243</f>
        <v>1</v>
      </c>
      <c r="F36" s="33">
        <f>Zbiorcza!AK243</f>
        <v>100.09799999999998</v>
      </c>
      <c r="G36" s="33">
        <f>Zbiorcza!AL243</f>
        <v>3.7666666666666671</v>
      </c>
      <c r="H36" s="33">
        <f>Zbiorcza!AM243</f>
        <v>5002.71</v>
      </c>
    </row>
    <row r="37" spans="1:8" x14ac:dyDescent="0.25">
      <c r="A37" s="33" t="str">
        <f>Zbiorcza!AF244</f>
        <v>IV 2015</v>
      </c>
      <c r="B37" s="33">
        <f>Zbiorcza!AG244</f>
        <v>7338.5633333333326</v>
      </c>
      <c r="C37" s="33">
        <f>Zbiorcza!AH244</f>
        <v>0</v>
      </c>
      <c r="D37" s="33">
        <f>Zbiorcza!AI244</f>
        <v>0</v>
      </c>
      <c r="E37" s="33">
        <f>Zbiorcza!AJ244</f>
        <v>1</v>
      </c>
      <c r="F37" s="33">
        <f>Zbiorcza!AK244</f>
        <v>99.897803999999979</v>
      </c>
      <c r="G37" s="33">
        <f>Zbiorcza!AL244</f>
        <v>3.4666666666666663</v>
      </c>
      <c r="H37" s="33">
        <f>Zbiorcza!AM244</f>
        <v>5231.3</v>
      </c>
    </row>
    <row r="38" spans="1:8" x14ac:dyDescent="0.25">
      <c r="A38" s="33" t="str">
        <f>Zbiorcza!AF245</f>
        <v>I 2016</v>
      </c>
      <c r="B38" s="33">
        <f>Zbiorcza!AG245</f>
        <v>7267.6266666666661</v>
      </c>
      <c r="C38" s="33">
        <f>Zbiorcza!AH245</f>
        <v>0</v>
      </c>
      <c r="D38" s="33">
        <f>Zbiorcza!AI245</f>
        <v>0</v>
      </c>
      <c r="E38" s="33">
        <f>Zbiorcza!AJ245</f>
        <v>1</v>
      </c>
      <c r="F38" s="33">
        <f>Zbiorcza!AK245</f>
        <v>99.198519371999978</v>
      </c>
      <c r="G38" s="33">
        <f>Zbiorcza!AL245</f>
        <v>3.3666666666666667</v>
      </c>
      <c r="H38" s="33">
        <f>Zbiorcza!AM245</f>
        <v>5435.95</v>
      </c>
    </row>
    <row r="39" spans="1:8" x14ac:dyDescent="0.25">
      <c r="A39" s="33" t="str">
        <f>Zbiorcza!AF246</f>
        <v>II 2016</v>
      </c>
      <c r="B39" s="33">
        <f>Zbiorcza!AG246</f>
        <v>7284.3733333333339</v>
      </c>
      <c r="C39" s="33">
        <f>Zbiorcza!AH246</f>
        <v>0</v>
      </c>
      <c r="D39" s="33">
        <f>Zbiorcza!AI246</f>
        <v>0</v>
      </c>
      <c r="E39" s="33">
        <f>Zbiorcza!AJ246</f>
        <v>1</v>
      </c>
      <c r="F39" s="33">
        <f>Zbiorcza!AK246</f>
        <v>99.69451196885997</v>
      </c>
      <c r="G39" s="33">
        <f>Zbiorcza!AL246</f>
        <v>3.1999999999999997</v>
      </c>
      <c r="H39" s="33">
        <f>Zbiorcza!AM246</f>
        <v>5215.26</v>
      </c>
    </row>
    <row r="40" spans="1:8" x14ac:dyDescent="0.25">
      <c r="A40" s="33" t="str">
        <f>Zbiorcza!AF247</f>
        <v>III 2016</v>
      </c>
      <c r="B40" s="33">
        <f>Zbiorcza!AG247</f>
        <v>7390.48</v>
      </c>
      <c r="C40" s="33">
        <f>Zbiorcza!AH247</f>
        <v>0</v>
      </c>
      <c r="D40" s="33">
        <f>Zbiorcza!AI247</f>
        <v>0</v>
      </c>
      <c r="E40" s="33">
        <f>Zbiorcza!AJ247</f>
        <v>1</v>
      </c>
      <c r="F40" s="33">
        <f>Zbiorcza!AK247</f>
        <v>99.395428432953395</v>
      </c>
      <c r="G40" s="33">
        <f>Zbiorcza!AL247</f>
        <v>3.0333333333333332</v>
      </c>
      <c r="H40" s="33">
        <f>Zbiorcza!AM247</f>
        <v>5147.24</v>
      </c>
    </row>
    <row r="41" spans="1:8" x14ac:dyDescent="0.25">
      <c r="A41" s="33" t="str">
        <f>Zbiorcza!AF248</f>
        <v>IV 2016</v>
      </c>
      <c r="B41" s="33">
        <f>Zbiorcza!AG248</f>
        <v>7350.0733333333337</v>
      </c>
      <c r="C41" s="33">
        <f>Zbiorcza!AH248</f>
        <v>0</v>
      </c>
      <c r="D41" s="33">
        <f>Zbiorcza!AI248</f>
        <v>0</v>
      </c>
      <c r="E41" s="33">
        <f>Zbiorcza!AJ248</f>
        <v>1</v>
      </c>
      <c r="F41" s="33">
        <f>Zbiorcza!AK248</f>
        <v>100.19059186041703</v>
      </c>
      <c r="G41" s="33">
        <f>Zbiorcza!AL248</f>
        <v>2.7666666666666662</v>
      </c>
      <c r="H41" s="33">
        <f>Zbiorcza!AM248</f>
        <v>5403.01</v>
      </c>
    </row>
    <row r="42" spans="1:8" x14ac:dyDescent="0.25">
      <c r="A42" s="33" t="str">
        <f>Zbiorcza!AF249</f>
        <v>I 2017</v>
      </c>
      <c r="B42" s="33">
        <f>Zbiorcza!AG249</f>
        <v>7280.3533333333326</v>
      </c>
      <c r="C42" s="33">
        <f>Zbiorcza!AH249</f>
        <v>0</v>
      </c>
      <c r="D42" s="33">
        <f>Zbiorcza!AI249</f>
        <v>0</v>
      </c>
      <c r="E42" s="33">
        <f>Zbiorcza!AJ249</f>
        <v>1</v>
      </c>
      <c r="F42" s="33">
        <f>Zbiorcza!AK249</f>
        <v>101.1924977790212</v>
      </c>
      <c r="G42" s="33">
        <f>Zbiorcza!AL249</f>
        <v>2.6333333333333333</v>
      </c>
      <c r="H42" s="33">
        <f>Zbiorcza!AM249</f>
        <v>5600.99</v>
      </c>
    </row>
    <row r="43" spans="1:8" x14ac:dyDescent="0.25">
      <c r="A43" s="33" t="str">
        <f>Zbiorcza!AF250</f>
        <v>II 2017</v>
      </c>
      <c r="B43" s="33">
        <f>Zbiorcza!AG250</f>
        <v>7301.5933333333332</v>
      </c>
      <c r="C43" s="33">
        <f>Zbiorcza!AH250</f>
        <v>0</v>
      </c>
      <c r="D43" s="33">
        <f>Zbiorcza!AI250</f>
        <v>0</v>
      </c>
      <c r="E43" s="33">
        <f>Zbiorcza!AJ250</f>
        <v>1</v>
      </c>
      <c r="F43" s="33">
        <f>Zbiorcza!AK250</f>
        <v>101.59726777013728</v>
      </c>
      <c r="G43" s="33">
        <f>Zbiorcza!AL250</f>
        <v>2.4333333333333336</v>
      </c>
      <c r="H43" s="33">
        <f>Zbiorcza!AM250</f>
        <v>5459.95</v>
      </c>
    </row>
    <row r="44" spans="1:8" x14ac:dyDescent="0.25">
      <c r="A44" s="33" t="str">
        <f>Zbiorcza!AF251</f>
        <v>III 2017</v>
      </c>
      <c r="B44" s="33">
        <f>Zbiorcza!AG251</f>
        <v>7580.6966666666667</v>
      </c>
      <c r="C44" s="33">
        <f>Zbiorcza!AH251</f>
        <v>0</v>
      </c>
      <c r="D44" s="33">
        <f>Zbiorcza!AI251</f>
        <v>0</v>
      </c>
      <c r="E44" s="33">
        <f>Zbiorcza!AJ251</f>
        <v>1</v>
      </c>
      <c r="F44" s="33">
        <f>Zbiorcza!AK251</f>
        <v>101.19087869905673</v>
      </c>
      <c r="G44" s="33">
        <f>Zbiorcza!AL251</f>
        <v>2.2999999999999998</v>
      </c>
      <c r="H44" s="33">
        <f>Zbiorcza!AM251</f>
        <v>5412.94</v>
      </c>
    </row>
    <row r="45" spans="1:8" x14ac:dyDescent="0.25">
      <c r="A45" s="33" t="str">
        <f>Zbiorcza!AF252</f>
        <v>IV 2017</v>
      </c>
      <c r="B45" s="33">
        <f>Zbiorcza!AG252</f>
        <v>7676.3533333333326</v>
      </c>
      <c r="C45" s="33">
        <f>Zbiorcza!AH252</f>
        <v>0</v>
      </c>
      <c r="D45" s="33">
        <f>Zbiorcza!AI252</f>
        <v>0</v>
      </c>
      <c r="E45" s="33">
        <f>Zbiorcza!AJ252</f>
        <v>1</v>
      </c>
      <c r="F45" s="33">
        <f>Zbiorcza!AK252</f>
        <v>102.30397836474634</v>
      </c>
      <c r="G45" s="33">
        <f>Zbiorcza!AL252</f>
        <v>2.0666666666666669</v>
      </c>
      <c r="H45" s="33">
        <f>Zbiorcza!AM252</f>
        <v>5800.4</v>
      </c>
    </row>
    <row r="46" spans="1:8" x14ac:dyDescent="0.25">
      <c r="A46" s="33" t="str">
        <f>Zbiorcza!AF253</f>
        <v>I 2018</v>
      </c>
      <c r="B46" s="33">
        <f>Zbiorcza!AG253</f>
        <v>8026.0466666666662</v>
      </c>
      <c r="C46" s="33">
        <f>Zbiorcza!AH253</f>
        <v>0</v>
      </c>
      <c r="D46" s="33">
        <f>Zbiorcza!AI253</f>
        <v>0</v>
      </c>
      <c r="E46" s="33">
        <f>Zbiorcza!AJ253</f>
        <v>1</v>
      </c>
      <c r="F46" s="33">
        <f>Zbiorcza!AK253</f>
        <v>102.71319427820532</v>
      </c>
      <c r="G46" s="33">
        <f>Zbiorcza!AL253</f>
        <v>1.9666666666666668</v>
      </c>
      <c r="H46" s="33">
        <f>Zbiorcza!AM253</f>
        <v>5973.72</v>
      </c>
    </row>
    <row r="47" spans="1:8" x14ac:dyDescent="0.25">
      <c r="A47" s="33" t="str">
        <f>Zbiorcza!AF254</f>
        <v>II 2018</v>
      </c>
      <c r="B47" s="33">
        <f>Zbiorcza!AG254</f>
        <v>7985.623333333333</v>
      </c>
      <c r="C47" s="33">
        <f>Zbiorcza!AH254</f>
        <v>0</v>
      </c>
      <c r="D47" s="33">
        <f>Zbiorcza!AI254</f>
        <v>0</v>
      </c>
      <c r="E47" s="33">
        <f>Zbiorcza!AJ254</f>
        <v>1</v>
      </c>
      <c r="F47" s="33">
        <f>Zbiorcza!AK254</f>
        <v>103.32947344387455</v>
      </c>
      <c r="G47" s="33">
        <f>Zbiorcza!AL254</f>
        <v>1.7666666666666666</v>
      </c>
      <c r="H47" s="33">
        <f>Zbiorcza!AM254</f>
        <v>5817.31</v>
      </c>
    </row>
    <row r="48" spans="1:8" x14ac:dyDescent="0.25">
      <c r="A48" s="33" t="str">
        <f>Zbiorcza!AF255</f>
        <v>III 2018</v>
      </c>
      <c r="B48" s="33">
        <f>Zbiorcza!AG255</f>
        <v>7962.9800000000005</v>
      </c>
      <c r="C48" s="33">
        <f>Zbiorcza!AH255</f>
        <v>0</v>
      </c>
      <c r="D48" s="33">
        <f>Zbiorcza!AI255</f>
        <v>0</v>
      </c>
      <c r="E48" s="33">
        <f>Zbiorcza!AJ255</f>
        <v>1</v>
      </c>
      <c r="F48" s="33">
        <f>Zbiorcza!AK255</f>
        <v>103.12281449698681</v>
      </c>
      <c r="G48" s="33">
        <f>Zbiorcza!AL255</f>
        <v>1.6666666666666667</v>
      </c>
      <c r="H48" s="33">
        <f>Zbiorcza!AM255</f>
        <v>5788.92</v>
      </c>
    </row>
    <row r="49" spans="1:8" x14ac:dyDescent="0.25">
      <c r="A49" s="33" t="str">
        <f>Zbiorcza!AF256</f>
        <v>IV 2018</v>
      </c>
      <c r="B49" s="33">
        <f>Zbiorcza!AG256</f>
        <v>8116.0766666666668</v>
      </c>
      <c r="C49" s="33">
        <f>Zbiorcza!AH256</f>
        <v>0</v>
      </c>
      <c r="D49" s="33">
        <f>Zbiorcza!AI256</f>
        <v>0</v>
      </c>
      <c r="E49" s="33">
        <f>Zbiorcza!AJ256</f>
        <v>1</v>
      </c>
      <c r="F49" s="33">
        <f>Zbiorcza!AK256</f>
        <v>103.74155138396873</v>
      </c>
      <c r="G49" s="33">
        <f>Zbiorcza!AL256</f>
        <v>1.5</v>
      </c>
      <c r="H49" s="33">
        <f>Zbiorcza!AM256</f>
        <v>6131.29</v>
      </c>
    </row>
    <row r="50" spans="1:8" x14ac:dyDescent="0.25">
      <c r="A50" s="33" t="str">
        <f>Zbiorcza!AF257</f>
        <v>I 2015</v>
      </c>
      <c r="B50" s="33">
        <f>Zbiorcza!AG257</f>
        <v>8251.6899999999987</v>
      </c>
      <c r="C50" s="33">
        <f>Zbiorcza!AH257</f>
        <v>-1</v>
      </c>
      <c r="D50" s="33">
        <f>Zbiorcza!AI257</f>
        <v>-1</v>
      </c>
      <c r="E50" s="33">
        <f>Zbiorcza!AJ257</f>
        <v>-1</v>
      </c>
      <c r="F50" s="33">
        <f>Zbiorcza!AK257</f>
        <v>100</v>
      </c>
      <c r="G50" s="33">
        <f>Zbiorcza!AL257</f>
        <v>4.2333333333333334</v>
      </c>
      <c r="H50" s="33">
        <f>Zbiorcza!AM257</f>
        <v>5267.32</v>
      </c>
    </row>
    <row r="51" spans="1:8" x14ac:dyDescent="0.25">
      <c r="A51" s="33" t="str">
        <f>Zbiorcza!AF258</f>
        <v>II 2015</v>
      </c>
      <c r="B51" s="33">
        <f>Zbiorcza!AG258</f>
        <v>8207.380000000001</v>
      </c>
      <c r="C51" s="33">
        <f>Zbiorcza!AH258</f>
        <v>-1</v>
      </c>
      <c r="D51" s="33">
        <f>Zbiorcza!AI258</f>
        <v>-1</v>
      </c>
      <c r="E51" s="33">
        <f>Zbiorcza!AJ258</f>
        <v>-1</v>
      </c>
      <c r="F51" s="33">
        <f>Zbiorcza!AK258</f>
        <v>100.49999999999999</v>
      </c>
      <c r="G51" s="33">
        <f>Zbiorcza!AL258</f>
        <v>3.9666666666666663</v>
      </c>
      <c r="H51" s="33">
        <f>Zbiorcza!AM258</f>
        <v>5036.68</v>
      </c>
    </row>
    <row r="52" spans="1:8" x14ac:dyDescent="0.25">
      <c r="A52" s="33" t="str">
        <f>Zbiorcza!AF259</f>
        <v>III 2015</v>
      </c>
      <c r="B52" s="33">
        <f>Zbiorcza!AG259</f>
        <v>7988.2</v>
      </c>
      <c r="C52" s="33">
        <f>Zbiorcza!AH259</f>
        <v>-1</v>
      </c>
      <c r="D52" s="33">
        <f>Zbiorcza!AI259</f>
        <v>-1</v>
      </c>
      <c r="E52" s="33">
        <f>Zbiorcza!AJ259</f>
        <v>-1</v>
      </c>
      <c r="F52" s="33">
        <f>Zbiorcza!AK259</f>
        <v>100.09799999999998</v>
      </c>
      <c r="G52" s="33">
        <f>Zbiorcza!AL259</f>
        <v>3.7666666666666671</v>
      </c>
      <c r="H52" s="33">
        <f>Zbiorcza!AM259</f>
        <v>5002.71</v>
      </c>
    </row>
    <row r="53" spans="1:8" x14ac:dyDescent="0.25">
      <c r="A53" s="33" t="str">
        <f>Zbiorcza!AF260</f>
        <v>IV 2015</v>
      </c>
      <c r="B53" s="33">
        <f>Zbiorcza!AG260</f>
        <v>7965.0949999999993</v>
      </c>
      <c r="C53" s="33">
        <f>Zbiorcza!AH260</f>
        <v>-1</v>
      </c>
      <c r="D53" s="33">
        <f>Zbiorcza!AI260</f>
        <v>-1</v>
      </c>
      <c r="E53" s="33">
        <f>Zbiorcza!AJ260</f>
        <v>-1</v>
      </c>
      <c r="F53" s="33">
        <f>Zbiorcza!AK260</f>
        <v>99.897803999999979</v>
      </c>
      <c r="G53" s="33">
        <f>Zbiorcza!AL260</f>
        <v>3.4666666666666663</v>
      </c>
      <c r="H53" s="33">
        <f>Zbiorcza!AM260</f>
        <v>5231.3</v>
      </c>
    </row>
    <row r="54" spans="1:8" x14ac:dyDescent="0.25">
      <c r="A54" s="33" t="str">
        <f>Zbiorcza!AF261</f>
        <v>I 2016</v>
      </c>
      <c r="B54" s="33">
        <f>Zbiorcza!AG261</f>
        <v>7923.3950000000004</v>
      </c>
      <c r="C54" s="33">
        <f>Zbiorcza!AH261</f>
        <v>-1</v>
      </c>
      <c r="D54" s="33">
        <f>Zbiorcza!AI261</f>
        <v>-1</v>
      </c>
      <c r="E54" s="33">
        <f>Zbiorcza!AJ261</f>
        <v>-1</v>
      </c>
      <c r="F54" s="33">
        <f>Zbiorcza!AK261</f>
        <v>99.198519371999978</v>
      </c>
      <c r="G54" s="33">
        <f>Zbiorcza!AL261</f>
        <v>3.3666666666666667</v>
      </c>
      <c r="H54" s="33">
        <f>Zbiorcza!AM261</f>
        <v>5435.95</v>
      </c>
    </row>
    <row r="55" spans="1:8" x14ac:dyDescent="0.25">
      <c r="A55" s="33" t="str">
        <f>Zbiorcza!AF262</f>
        <v>II 2016</v>
      </c>
      <c r="B55" s="33">
        <f>Zbiorcza!AG262</f>
        <v>7963.7549999999992</v>
      </c>
      <c r="C55" s="33">
        <f>Zbiorcza!AH262</f>
        <v>-1</v>
      </c>
      <c r="D55" s="33">
        <f>Zbiorcza!AI262</f>
        <v>-1</v>
      </c>
      <c r="E55" s="33">
        <f>Zbiorcza!AJ262</f>
        <v>-1</v>
      </c>
      <c r="F55" s="33">
        <f>Zbiorcza!AK262</f>
        <v>99.69451196885997</v>
      </c>
      <c r="G55" s="33">
        <f>Zbiorcza!AL262</f>
        <v>3.1999999999999997</v>
      </c>
      <c r="H55" s="33">
        <f>Zbiorcza!AM262</f>
        <v>5215.26</v>
      </c>
    </row>
    <row r="56" spans="1:8" x14ac:dyDescent="0.25">
      <c r="A56" s="33" t="str">
        <f>Zbiorcza!AF263</f>
        <v>III 2016</v>
      </c>
      <c r="B56" s="33">
        <f>Zbiorcza!AG263</f>
        <v>8202.9</v>
      </c>
      <c r="C56" s="33">
        <f>Zbiorcza!AH263</f>
        <v>-1</v>
      </c>
      <c r="D56" s="33">
        <f>Zbiorcza!AI263</f>
        <v>-1</v>
      </c>
      <c r="E56" s="33">
        <f>Zbiorcza!AJ263</f>
        <v>-1</v>
      </c>
      <c r="F56" s="33">
        <f>Zbiorcza!AK263</f>
        <v>99.395428432953395</v>
      </c>
      <c r="G56" s="33">
        <f>Zbiorcza!AL263</f>
        <v>3.0333333333333332</v>
      </c>
      <c r="H56" s="33">
        <f>Zbiorcza!AM263</f>
        <v>5147.24</v>
      </c>
    </row>
    <row r="57" spans="1:8" x14ac:dyDescent="0.25">
      <c r="A57" s="33" t="str">
        <f>Zbiorcza!AF264</f>
        <v>IV 2016</v>
      </c>
      <c r="B57" s="33">
        <f>Zbiorcza!AG264</f>
        <v>8125.29</v>
      </c>
      <c r="C57" s="33">
        <f>Zbiorcza!AH264</f>
        <v>-1</v>
      </c>
      <c r="D57" s="33">
        <f>Zbiorcza!AI264</f>
        <v>-1</v>
      </c>
      <c r="E57" s="33">
        <f>Zbiorcza!AJ264</f>
        <v>-1</v>
      </c>
      <c r="F57" s="33">
        <f>Zbiorcza!AK264</f>
        <v>100.19059186041703</v>
      </c>
      <c r="G57" s="33">
        <f>Zbiorcza!AL264</f>
        <v>2.7666666666666662</v>
      </c>
      <c r="H57" s="33">
        <f>Zbiorcza!AM264</f>
        <v>5403.01</v>
      </c>
    </row>
    <row r="58" spans="1:8" x14ac:dyDescent="0.25">
      <c r="A58" s="33" t="str">
        <f>Zbiorcza!AF265</f>
        <v>I 2017</v>
      </c>
      <c r="B58" s="33">
        <f>Zbiorcza!AG265</f>
        <v>8344.99</v>
      </c>
      <c r="C58" s="33">
        <f>Zbiorcza!AH265</f>
        <v>-1</v>
      </c>
      <c r="D58" s="33">
        <f>Zbiorcza!AI265</f>
        <v>-1</v>
      </c>
      <c r="E58" s="33">
        <f>Zbiorcza!AJ265</f>
        <v>-1</v>
      </c>
      <c r="F58" s="33">
        <f>Zbiorcza!AK265</f>
        <v>101.1924977790212</v>
      </c>
      <c r="G58" s="33">
        <f>Zbiorcza!AL265</f>
        <v>2.6333333333333333</v>
      </c>
      <c r="H58" s="33">
        <f>Zbiorcza!AM265</f>
        <v>5600.99</v>
      </c>
    </row>
    <row r="59" spans="1:8" x14ac:dyDescent="0.25">
      <c r="A59" s="33" t="str">
        <f>Zbiorcza!AF266</f>
        <v>II 2017</v>
      </c>
      <c r="B59" s="33">
        <f>Zbiorcza!AG266</f>
        <v>8036.78</v>
      </c>
      <c r="C59" s="33">
        <f>Zbiorcza!AH266</f>
        <v>-1</v>
      </c>
      <c r="D59" s="33">
        <f>Zbiorcza!AI266</f>
        <v>-1</v>
      </c>
      <c r="E59" s="33">
        <f>Zbiorcza!AJ266</f>
        <v>-1</v>
      </c>
      <c r="F59" s="33">
        <f>Zbiorcza!AK266</f>
        <v>101.59726777013728</v>
      </c>
      <c r="G59" s="33">
        <f>Zbiorcza!AL266</f>
        <v>2.4333333333333336</v>
      </c>
      <c r="H59" s="33">
        <f>Zbiorcza!AM266</f>
        <v>5459.95</v>
      </c>
    </row>
    <row r="60" spans="1:8" x14ac:dyDescent="0.25">
      <c r="A60" s="33" t="str">
        <f>Zbiorcza!AF267</f>
        <v>III 2017</v>
      </c>
      <c r="B60" s="33">
        <f>Zbiorcza!AG267</f>
        <v>8056.17</v>
      </c>
      <c r="C60" s="33">
        <f>Zbiorcza!AH267</f>
        <v>-1</v>
      </c>
      <c r="D60" s="33">
        <f>Zbiorcza!AI267</f>
        <v>-1</v>
      </c>
      <c r="E60" s="33">
        <f>Zbiorcza!AJ267</f>
        <v>-1</v>
      </c>
      <c r="F60" s="33">
        <f>Zbiorcza!AK267</f>
        <v>101.19087869905673</v>
      </c>
      <c r="G60" s="33">
        <f>Zbiorcza!AL267</f>
        <v>2.2999999999999998</v>
      </c>
      <c r="H60" s="33">
        <f>Zbiorcza!AM267</f>
        <v>5412.94</v>
      </c>
    </row>
    <row r="61" spans="1:8" x14ac:dyDescent="0.25">
      <c r="A61" s="33" t="str">
        <f>Zbiorcza!AF268</f>
        <v>IV 2017</v>
      </c>
      <c r="B61" s="33">
        <f>Zbiorcza!AG268</f>
        <v>8268.89</v>
      </c>
      <c r="C61" s="33">
        <f>Zbiorcza!AH268</f>
        <v>-1</v>
      </c>
      <c r="D61" s="33">
        <f>Zbiorcza!AI268</f>
        <v>-1</v>
      </c>
      <c r="E61" s="33">
        <f>Zbiorcza!AJ268</f>
        <v>-1</v>
      </c>
      <c r="F61" s="33">
        <f>Zbiorcza!AK268</f>
        <v>102.30397836474634</v>
      </c>
      <c r="G61" s="33">
        <f>Zbiorcza!AL268</f>
        <v>2.0666666666666669</v>
      </c>
      <c r="H61" s="33">
        <f>Zbiorcza!AM268</f>
        <v>5800.4</v>
      </c>
    </row>
    <row r="62" spans="1:8" x14ac:dyDescent="0.25">
      <c r="A62" s="33" t="str">
        <f>Zbiorcza!AF269</f>
        <v>I 2018</v>
      </c>
      <c r="B62" s="33">
        <f>Zbiorcza!AG269</f>
        <v>8534.8050000000003</v>
      </c>
      <c r="C62" s="33">
        <f>Zbiorcza!AH269</f>
        <v>-1</v>
      </c>
      <c r="D62" s="33">
        <f>Zbiorcza!AI269</f>
        <v>-1</v>
      </c>
      <c r="E62" s="33">
        <f>Zbiorcza!AJ269</f>
        <v>-1</v>
      </c>
      <c r="F62" s="33">
        <f>Zbiorcza!AK269</f>
        <v>102.71319427820532</v>
      </c>
      <c r="G62" s="33">
        <f>Zbiorcza!AL269</f>
        <v>1.9666666666666668</v>
      </c>
      <c r="H62" s="33">
        <f>Zbiorcza!AM269</f>
        <v>5973.72</v>
      </c>
    </row>
    <row r="63" spans="1:8" x14ac:dyDescent="0.25">
      <c r="A63" s="33" t="str">
        <f>Zbiorcza!AF270</f>
        <v>II 2018</v>
      </c>
      <c r="B63" s="33">
        <f>Zbiorcza!AG270</f>
        <v>9125.0950000000012</v>
      </c>
      <c r="C63" s="33">
        <f>Zbiorcza!AH270</f>
        <v>-1</v>
      </c>
      <c r="D63" s="33">
        <f>Zbiorcza!AI270</f>
        <v>-1</v>
      </c>
      <c r="E63" s="33">
        <f>Zbiorcza!AJ270</f>
        <v>-1</v>
      </c>
      <c r="F63" s="33">
        <f>Zbiorcza!AK270</f>
        <v>103.32947344387455</v>
      </c>
      <c r="G63" s="33">
        <f>Zbiorcza!AL270</f>
        <v>1.7666666666666666</v>
      </c>
      <c r="H63" s="33">
        <f>Zbiorcza!AM270</f>
        <v>5817.31</v>
      </c>
    </row>
    <row r="64" spans="1:8" x14ac:dyDescent="0.25">
      <c r="A64" s="33" t="str">
        <f>Zbiorcza!AF271</f>
        <v>III 2018</v>
      </c>
      <c r="B64" s="33">
        <f>Zbiorcza!AG271</f>
        <v>8981.3150000000005</v>
      </c>
      <c r="C64" s="33">
        <f>Zbiorcza!AH271</f>
        <v>-1</v>
      </c>
      <c r="D64" s="33">
        <f>Zbiorcza!AI271</f>
        <v>-1</v>
      </c>
      <c r="E64" s="33">
        <f>Zbiorcza!AJ271</f>
        <v>-1</v>
      </c>
      <c r="F64" s="33">
        <f>Zbiorcza!AK271</f>
        <v>103.12281449698681</v>
      </c>
      <c r="G64" s="33">
        <f>Zbiorcza!AL271</f>
        <v>1.6666666666666667</v>
      </c>
      <c r="H64" s="33">
        <f>Zbiorcza!AM271</f>
        <v>5788.92</v>
      </c>
    </row>
    <row r="65" spans="1:8" x14ac:dyDescent="0.25">
      <c r="A65" s="33" t="str">
        <f>Zbiorcza!AF272</f>
        <v>IV 2018</v>
      </c>
      <c r="B65" s="33">
        <f>Zbiorcza!AG272</f>
        <v>9161.74</v>
      </c>
      <c r="C65" s="33">
        <f>Zbiorcza!AH272</f>
        <v>-1</v>
      </c>
      <c r="D65" s="33">
        <f>Zbiorcza!AI272</f>
        <v>-1</v>
      </c>
      <c r="E65" s="33">
        <f>Zbiorcza!AJ272</f>
        <v>-1</v>
      </c>
      <c r="F65" s="33">
        <f>Zbiorcza!AK272</f>
        <v>103.74155138396873</v>
      </c>
      <c r="G65" s="33">
        <f>Zbiorcza!AL272</f>
        <v>1.5</v>
      </c>
      <c r="H65" s="33">
        <f>Zbiorcza!AM272</f>
        <v>6131.29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sqref="A1:I32"/>
    </sheetView>
  </sheetViews>
  <sheetFormatPr defaultRowHeight="15" x14ac:dyDescent="0.25"/>
  <sheetData>
    <row r="1" spans="1:9" x14ac:dyDescent="0.25">
      <c r="A1" t="str">
        <f>Zbiorcza!AP208</f>
        <v>Kw</v>
      </c>
      <c r="B1" t="str">
        <f>Zbiorcza!AQ208</f>
        <v>Cena</v>
      </c>
      <c r="C1" t="str">
        <f>Zbiorcza!AR208</f>
        <v>M_do35</v>
      </c>
      <c r="D1" t="str">
        <f>Zbiorcza!AS208</f>
        <v>M_35-50</v>
      </c>
      <c r="E1" t="str">
        <f>Zbiorcza!AT208</f>
        <v>M_50-80</v>
      </c>
      <c r="F1" t="str">
        <f>Zbiorcza!AU208</f>
        <v>Wsk_cen</v>
      </c>
      <c r="G1" t="str">
        <f>Zbiorcza!AV208</f>
        <v>Bezr</v>
      </c>
      <c r="H1" t="str">
        <f>Zbiorcza!AW208</f>
        <v>W</v>
      </c>
      <c r="I1" t="str">
        <f>Zbiorcza!AX208</f>
        <v>cena-1</v>
      </c>
    </row>
    <row r="2" spans="1:9" x14ac:dyDescent="0.25">
      <c r="A2" t="str">
        <f>Zbiorcza!AP209</f>
        <v>II 2015</v>
      </c>
      <c r="B2">
        <f>Zbiorcza!AQ209</f>
        <v>8284.02</v>
      </c>
      <c r="C2">
        <f>Zbiorcza!AR209</f>
        <v>1</v>
      </c>
      <c r="D2">
        <f>Zbiorcza!AS209</f>
        <v>0</v>
      </c>
      <c r="E2">
        <f>Zbiorcza!AT209</f>
        <v>0</v>
      </c>
      <c r="F2">
        <f>Zbiorcza!AU209</f>
        <v>100.49999999999999</v>
      </c>
      <c r="G2">
        <f>Zbiorcza!AV209</f>
        <v>3.9666666666666663</v>
      </c>
      <c r="H2">
        <f>Zbiorcza!AW209</f>
        <v>5036.68</v>
      </c>
      <c r="I2">
        <f>Zbiorcza!AX209</f>
        <v>7857.91</v>
      </c>
    </row>
    <row r="3" spans="1:9" x14ac:dyDescent="0.25">
      <c r="A3" t="str">
        <f>Zbiorcza!AP210</f>
        <v>III 2015</v>
      </c>
      <c r="B3">
        <f>Zbiorcza!AQ210</f>
        <v>8159.41</v>
      </c>
      <c r="C3">
        <f>Zbiorcza!AR210</f>
        <v>1</v>
      </c>
      <c r="D3">
        <f>Zbiorcza!AS210</f>
        <v>0</v>
      </c>
      <c r="E3">
        <f>Zbiorcza!AT210</f>
        <v>0</v>
      </c>
      <c r="F3">
        <f>Zbiorcza!AU210</f>
        <v>100.09799999999998</v>
      </c>
      <c r="G3">
        <f>Zbiorcza!AV210</f>
        <v>3.7666666666666671</v>
      </c>
      <c r="H3">
        <f>Zbiorcza!AW210</f>
        <v>5002.71</v>
      </c>
      <c r="I3">
        <f>Zbiorcza!AX210</f>
        <v>8284.02</v>
      </c>
    </row>
    <row r="4" spans="1:9" x14ac:dyDescent="0.25">
      <c r="A4" t="str">
        <f>Zbiorcza!AP211</f>
        <v>IV 2015</v>
      </c>
      <c r="B4">
        <f>Zbiorcza!AQ211</f>
        <v>7800.35</v>
      </c>
      <c r="C4">
        <f>Zbiorcza!AR211</f>
        <v>1</v>
      </c>
      <c r="D4">
        <f>Zbiorcza!AS211</f>
        <v>0</v>
      </c>
      <c r="E4">
        <f>Zbiorcza!AT211</f>
        <v>0</v>
      </c>
      <c r="F4">
        <f>Zbiorcza!AU211</f>
        <v>99.897803999999979</v>
      </c>
      <c r="G4">
        <f>Zbiorcza!AV211</f>
        <v>3.4666666666666663</v>
      </c>
      <c r="H4">
        <f>Zbiorcza!AW211</f>
        <v>5231.3</v>
      </c>
      <c r="I4">
        <f>Zbiorcza!AX211</f>
        <v>8159.41</v>
      </c>
    </row>
    <row r="5" spans="1:9" x14ac:dyDescent="0.25">
      <c r="A5" t="str">
        <f>Zbiorcza!AP212</f>
        <v>I 2016</v>
      </c>
      <c r="B5">
        <f>Zbiorcza!AQ212</f>
        <v>7926.01</v>
      </c>
      <c r="C5">
        <f>Zbiorcza!AR212</f>
        <v>1</v>
      </c>
      <c r="D5">
        <f>Zbiorcza!AS212</f>
        <v>0</v>
      </c>
      <c r="E5">
        <f>Zbiorcza!AT212</f>
        <v>0</v>
      </c>
      <c r="F5">
        <f>Zbiorcza!AU212</f>
        <v>99.198519371999978</v>
      </c>
      <c r="G5">
        <f>Zbiorcza!AV212</f>
        <v>3.3666666666666667</v>
      </c>
      <c r="H5">
        <f>Zbiorcza!AW212</f>
        <v>5435.95</v>
      </c>
      <c r="I5">
        <f>Zbiorcza!AX212</f>
        <v>7800.35</v>
      </c>
    </row>
    <row r="6" spans="1:9" x14ac:dyDescent="0.25">
      <c r="A6" t="str">
        <f>Zbiorcza!AP213</f>
        <v>II 2016</v>
      </c>
      <c r="B6">
        <f>Zbiorcza!AQ213</f>
        <v>8131.97</v>
      </c>
      <c r="C6">
        <f>Zbiorcza!AR213</f>
        <v>1</v>
      </c>
      <c r="D6">
        <f>Zbiorcza!AS213</f>
        <v>0</v>
      </c>
      <c r="E6">
        <f>Zbiorcza!AT213</f>
        <v>0</v>
      </c>
      <c r="F6">
        <f>Zbiorcza!AU213</f>
        <v>99.69451196885997</v>
      </c>
      <c r="G6">
        <f>Zbiorcza!AV213</f>
        <v>3.1999999999999997</v>
      </c>
      <c r="H6">
        <f>Zbiorcza!AW213</f>
        <v>5215.26</v>
      </c>
      <c r="I6">
        <f>Zbiorcza!AX213</f>
        <v>7926.01</v>
      </c>
    </row>
    <row r="7" spans="1:9" x14ac:dyDescent="0.25">
      <c r="A7" t="str">
        <f>Zbiorcza!AP214</f>
        <v>III 2016</v>
      </c>
      <c r="B7">
        <f>Zbiorcza!AQ214</f>
        <v>8088.39</v>
      </c>
      <c r="C7">
        <f>Zbiorcza!AR214</f>
        <v>1</v>
      </c>
      <c r="D7">
        <f>Zbiorcza!AS214</f>
        <v>0</v>
      </c>
      <c r="E7">
        <f>Zbiorcza!AT214</f>
        <v>0</v>
      </c>
      <c r="F7">
        <f>Zbiorcza!AU214</f>
        <v>99.395428432953395</v>
      </c>
      <c r="G7">
        <f>Zbiorcza!AV214</f>
        <v>3.0333333333333332</v>
      </c>
      <c r="H7">
        <f>Zbiorcza!AW214</f>
        <v>5147.24</v>
      </c>
      <c r="I7">
        <f>Zbiorcza!AX214</f>
        <v>8131.97</v>
      </c>
    </row>
    <row r="8" spans="1:9" x14ac:dyDescent="0.25">
      <c r="A8" t="str">
        <f>Zbiorcza!AP215</f>
        <v>IV 2016</v>
      </c>
      <c r="B8">
        <f>Zbiorcza!AQ215</f>
        <v>8025.11</v>
      </c>
      <c r="C8">
        <f>Zbiorcza!AR215</f>
        <v>1</v>
      </c>
      <c r="D8">
        <f>Zbiorcza!AS215</f>
        <v>0</v>
      </c>
      <c r="E8">
        <f>Zbiorcza!AT215</f>
        <v>0</v>
      </c>
      <c r="F8">
        <f>Zbiorcza!AU215</f>
        <v>100.19059186041703</v>
      </c>
      <c r="G8">
        <f>Zbiorcza!AV215</f>
        <v>2.7666666666666662</v>
      </c>
      <c r="H8">
        <f>Zbiorcza!AW215</f>
        <v>5403.01</v>
      </c>
      <c r="I8">
        <f>Zbiorcza!AX215</f>
        <v>8088.39</v>
      </c>
    </row>
    <row r="9" spans="1:9" x14ac:dyDescent="0.25">
      <c r="A9" t="str">
        <f>Zbiorcza!AP216</f>
        <v>I 2017</v>
      </c>
      <c r="B9">
        <f>Zbiorcza!AQ216</f>
        <v>7829.23</v>
      </c>
      <c r="C9">
        <f>Zbiorcza!AR216</f>
        <v>1</v>
      </c>
      <c r="D9">
        <f>Zbiorcza!AS216</f>
        <v>0</v>
      </c>
      <c r="E9">
        <f>Zbiorcza!AT216</f>
        <v>0</v>
      </c>
      <c r="F9">
        <f>Zbiorcza!AU216</f>
        <v>101.1924977790212</v>
      </c>
      <c r="G9">
        <f>Zbiorcza!AV216</f>
        <v>2.6333333333333333</v>
      </c>
      <c r="H9">
        <f>Zbiorcza!AW216</f>
        <v>5600.99</v>
      </c>
      <c r="I9">
        <f>Zbiorcza!AX216</f>
        <v>8025.11</v>
      </c>
    </row>
    <row r="10" spans="1:9" x14ac:dyDescent="0.25">
      <c r="A10" t="str">
        <f>Zbiorcza!AP217</f>
        <v>II 2017</v>
      </c>
      <c r="B10">
        <f>Zbiorcza!AQ217</f>
        <v>7625.9</v>
      </c>
      <c r="C10">
        <f>Zbiorcza!AR217</f>
        <v>1</v>
      </c>
      <c r="D10">
        <f>Zbiorcza!AS217</f>
        <v>0</v>
      </c>
      <c r="E10">
        <f>Zbiorcza!AT217</f>
        <v>0</v>
      </c>
      <c r="F10">
        <f>Zbiorcza!AU217</f>
        <v>101.59726777013728</v>
      </c>
      <c r="G10">
        <f>Zbiorcza!AV217</f>
        <v>2.4333333333333336</v>
      </c>
      <c r="H10">
        <f>Zbiorcza!AW217</f>
        <v>5459.95</v>
      </c>
      <c r="I10">
        <f>Zbiorcza!AX217</f>
        <v>7829.23</v>
      </c>
    </row>
    <row r="11" spans="1:9" x14ac:dyDescent="0.25">
      <c r="A11" t="str">
        <f>Zbiorcza!AP218</f>
        <v>III 2017</v>
      </c>
      <c r="B11">
        <f>Zbiorcza!AQ218</f>
        <v>7988.82</v>
      </c>
      <c r="C11">
        <f>Zbiorcza!AR218</f>
        <v>1</v>
      </c>
      <c r="D11">
        <f>Zbiorcza!AS218</f>
        <v>0</v>
      </c>
      <c r="E11">
        <f>Zbiorcza!AT218</f>
        <v>0</v>
      </c>
      <c r="F11">
        <f>Zbiorcza!AU218</f>
        <v>101.19087869905673</v>
      </c>
      <c r="G11">
        <f>Zbiorcza!AV218</f>
        <v>2.2999999999999998</v>
      </c>
      <c r="H11">
        <f>Zbiorcza!AW218</f>
        <v>5412.94</v>
      </c>
      <c r="I11">
        <f>Zbiorcza!AX218</f>
        <v>7625.9</v>
      </c>
    </row>
    <row r="12" spans="1:9" x14ac:dyDescent="0.25">
      <c r="A12" t="str">
        <f>Zbiorcza!AP219</f>
        <v>IV 2017</v>
      </c>
      <c r="B12">
        <f>Zbiorcza!AQ219</f>
        <v>7865.69</v>
      </c>
      <c r="C12">
        <f>Zbiorcza!AR219</f>
        <v>1</v>
      </c>
      <c r="D12">
        <f>Zbiorcza!AS219</f>
        <v>0</v>
      </c>
      <c r="E12">
        <f>Zbiorcza!AT219</f>
        <v>0</v>
      </c>
      <c r="F12">
        <f>Zbiorcza!AU219</f>
        <v>102.30397836474634</v>
      </c>
      <c r="G12">
        <f>Zbiorcza!AV219</f>
        <v>2.0666666666666669</v>
      </c>
      <c r="H12">
        <f>Zbiorcza!AW219</f>
        <v>5800.4</v>
      </c>
      <c r="I12">
        <f>Zbiorcza!AX219</f>
        <v>7988.82</v>
      </c>
    </row>
    <row r="13" spans="1:9" x14ac:dyDescent="0.25">
      <c r="A13" t="str">
        <f>Zbiorcza!AP220</f>
        <v>I 2018</v>
      </c>
      <c r="B13">
        <f>Zbiorcza!AQ220</f>
        <v>8881.44</v>
      </c>
      <c r="C13">
        <f>Zbiorcza!AR220</f>
        <v>1</v>
      </c>
      <c r="D13">
        <f>Zbiorcza!AS220</f>
        <v>0</v>
      </c>
      <c r="E13">
        <f>Zbiorcza!AT220</f>
        <v>0</v>
      </c>
      <c r="F13">
        <f>Zbiorcza!AU220</f>
        <v>102.71319427820532</v>
      </c>
      <c r="G13">
        <f>Zbiorcza!AV220</f>
        <v>1.9666666666666668</v>
      </c>
      <c r="H13">
        <f>Zbiorcza!AW220</f>
        <v>5973.72</v>
      </c>
      <c r="I13">
        <f>Zbiorcza!AX220</f>
        <v>7865.69</v>
      </c>
    </row>
    <row r="14" spans="1:9" x14ac:dyDescent="0.25">
      <c r="A14" t="str">
        <f>Zbiorcza!AP221</f>
        <v>II 2018</v>
      </c>
      <c r="B14">
        <f>Zbiorcza!AQ221</f>
        <v>8852.2199999999993</v>
      </c>
      <c r="C14">
        <f>Zbiorcza!AR221</f>
        <v>1</v>
      </c>
      <c r="D14">
        <f>Zbiorcza!AS221</f>
        <v>0</v>
      </c>
      <c r="E14">
        <f>Zbiorcza!AT221</f>
        <v>0</v>
      </c>
      <c r="F14">
        <f>Zbiorcza!AU221</f>
        <v>103.32947344387455</v>
      </c>
      <c r="G14">
        <f>Zbiorcza!AV221</f>
        <v>1.7666666666666666</v>
      </c>
      <c r="H14">
        <f>Zbiorcza!AW221</f>
        <v>5817.31</v>
      </c>
      <c r="I14">
        <f>Zbiorcza!AX221</f>
        <v>8881.44</v>
      </c>
    </row>
    <row r="15" spans="1:9" x14ac:dyDescent="0.25">
      <c r="A15" t="str">
        <f>Zbiorcza!AP222</f>
        <v>III 2018</v>
      </c>
      <c r="B15">
        <f>Zbiorcza!AQ222</f>
        <v>8981.01</v>
      </c>
      <c r="C15">
        <f>Zbiorcza!AR222</f>
        <v>1</v>
      </c>
      <c r="D15">
        <f>Zbiorcza!AS222</f>
        <v>0</v>
      </c>
      <c r="E15">
        <f>Zbiorcza!AT222</f>
        <v>0</v>
      </c>
      <c r="F15">
        <f>Zbiorcza!AU222</f>
        <v>103.12281449698681</v>
      </c>
      <c r="G15">
        <f>Zbiorcza!AV222</f>
        <v>1.6666666666666667</v>
      </c>
      <c r="H15">
        <f>Zbiorcza!AW222</f>
        <v>5788.92</v>
      </c>
      <c r="I15">
        <f>Zbiorcza!AX222</f>
        <v>8852.2199999999993</v>
      </c>
    </row>
    <row r="16" spans="1:9" x14ac:dyDescent="0.25">
      <c r="A16" t="str">
        <f>Zbiorcza!AP223</f>
        <v>IV 2018</v>
      </c>
      <c r="B16">
        <f>Zbiorcza!AQ223</f>
        <v>8999.6</v>
      </c>
      <c r="C16">
        <f>Zbiorcza!AR223</f>
        <v>1</v>
      </c>
      <c r="D16">
        <f>Zbiorcza!AS223</f>
        <v>0</v>
      </c>
      <c r="E16">
        <f>Zbiorcza!AT223</f>
        <v>0</v>
      </c>
      <c r="F16">
        <f>Zbiorcza!AU223</f>
        <v>103.74155138396873</v>
      </c>
      <c r="G16">
        <f>Zbiorcza!AV223</f>
        <v>1.5</v>
      </c>
      <c r="H16">
        <f>Zbiorcza!AW223</f>
        <v>6131.29</v>
      </c>
      <c r="I16">
        <f>Zbiorcza!AX223</f>
        <v>8981.01</v>
      </c>
    </row>
    <row r="17" spans="1:9" x14ac:dyDescent="0.25">
      <c r="A17" t="str">
        <f>Zbiorcza!AP224</f>
        <v>I 2015</v>
      </c>
      <c r="B17">
        <f>Zbiorcza!AQ224</f>
        <v>7295.7250000000004</v>
      </c>
      <c r="C17">
        <f>Zbiorcza!AR224</f>
        <v>0</v>
      </c>
      <c r="D17">
        <f>Zbiorcza!AS224</f>
        <v>1</v>
      </c>
      <c r="E17">
        <f>Zbiorcza!AT224</f>
        <v>0</v>
      </c>
      <c r="F17">
        <f>Zbiorcza!AU224</f>
        <v>100</v>
      </c>
      <c r="G17">
        <f>Zbiorcza!AV224</f>
        <v>4.2333333333333334</v>
      </c>
      <c r="H17">
        <f>Zbiorcza!AW224</f>
        <v>5267.32</v>
      </c>
      <c r="I17">
        <f>Zbiorcza!AX224</f>
        <v>8999.6</v>
      </c>
    </row>
    <row r="18" spans="1:9" x14ac:dyDescent="0.25">
      <c r="A18" t="str">
        <f>Zbiorcza!AP225</f>
        <v>II 2015</v>
      </c>
      <c r="B18">
        <f>Zbiorcza!AQ225</f>
        <v>7377.2550000000001</v>
      </c>
      <c r="C18">
        <f>Zbiorcza!AR225</f>
        <v>0</v>
      </c>
      <c r="D18">
        <f>Zbiorcza!AS225</f>
        <v>1</v>
      </c>
      <c r="E18">
        <f>Zbiorcza!AT225</f>
        <v>0</v>
      </c>
      <c r="F18">
        <f>Zbiorcza!AU225</f>
        <v>100.49999999999999</v>
      </c>
      <c r="G18">
        <f>Zbiorcza!AV225</f>
        <v>3.9666666666666663</v>
      </c>
      <c r="H18">
        <f>Zbiorcza!AW225</f>
        <v>5036.68</v>
      </c>
      <c r="I18">
        <f>Zbiorcza!AX225</f>
        <v>7295.7250000000004</v>
      </c>
    </row>
    <row r="19" spans="1:9" x14ac:dyDescent="0.25">
      <c r="A19" t="str">
        <f>Zbiorcza!AP226</f>
        <v>III 2015</v>
      </c>
      <c r="B19">
        <f>Zbiorcza!AQ226</f>
        <v>7272.625</v>
      </c>
      <c r="C19">
        <f>Zbiorcza!AR226</f>
        <v>0</v>
      </c>
      <c r="D19">
        <f>Zbiorcza!AS226</f>
        <v>1</v>
      </c>
      <c r="E19">
        <f>Zbiorcza!AT226</f>
        <v>0</v>
      </c>
      <c r="F19">
        <f>Zbiorcza!AU226</f>
        <v>100.09799999999998</v>
      </c>
      <c r="G19">
        <f>Zbiorcza!AV226</f>
        <v>3.7666666666666671</v>
      </c>
      <c r="H19">
        <f>Zbiorcza!AW226</f>
        <v>5002.71</v>
      </c>
      <c r="I19">
        <f>Zbiorcza!AX226</f>
        <v>7377.2550000000001</v>
      </c>
    </row>
    <row r="20" spans="1:9" x14ac:dyDescent="0.25">
      <c r="A20" t="str">
        <f>Zbiorcza!AP227</f>
        <v>IV 2015</v>
      </c>
      <c r="B20">
        <f>Zbiorcza!AQ227</f>
        <v>7066.26</v>
      </c>
      <c r="C20">
        <f>Zbiorcza!AR227</f>
        <v>0</v>
      </c>
      <c r="D20">
        <f>Zbiorcza!AS227</f>
        <v>1</v>
      </c>
      <c r="E20">
        <f>Zbiorcza!AT227</f>
        <v>0</v>
      </c>
      <c r="F20">
        <f>Zbiorcza!AU227</f>
        <v>99.897803999999979</v>
      </c>
      <c r="G20">
        <f>Zbiorcza!AV227</f>
        <v>3.4666666666666663</v>
      </c>
      <c r="H20">
        <f>Zbiorcza!AW227</f>
        <v>5231.3</v>
      </c>
      <c r="I20">
        <f>Zbiorcza!AX227</f>
        <v>7272.625</v>
      </c>
    </row>
    <row r="21" spans="1:9" x14ac:dyDescent="0.25">
      <c r="A21" t="str">
        <f>Zbiorcza!AP228</f>
        <v>I 2016</v>
      </c>
      <c r="B21">
        <f>Zbiorcza!AQ228</f>
        <v>7237.9750000000004</v>
      </c>
      <c r="C21">
        <f>Zbiorcza!AR228</f>
        <v>0</v>
      </c>
      <c r="D21">
        <f>Zbiorcza!AS228</f>
        <v>1</v>
      </c>
      <c r="E21">
        <f>Zbiorcza!AT228</f>
        <v>0</v>
      </c>
      <c r="F21">
        <f>Zbiorcza!AU228</f>
        <v>99.198519371999978</v>
      </c>
      <c r="G21">
        <f>Zbiorcza!AV228</f>
        <v>3.3666666666666667</v>
      </c>
      <c r="H21">
        <f>Zbiorcza!AW228</f>
        <v>5435.95</v>
      </c>
      <c r="I21">
        <f>Zbiorcza!AX228</f>
        <v>7066.26</v>
      </c>
    </row>
    <row r="22" spans="1:9" x14ac:dyDescent="0.25">
      <c r="A22" t="str">
        <f>Zbiorcza!AP229</f>
        <v>II 2016</v>
      </c>
      <c r="B22">
        <f>Zbiorcza!AQ229</f>
        <v>7504.75</v>
      </c>
      <c r="C22">
        <f>Zbiorcza!AR229</f>
        <v>0</v>
      </c>
      <c r="D22">
        <f>Zbiorcza!AS229</f>
        <v>1</v>
      </c>
      <c r="E22">
        <f>Zbiorcza!AT229</f>
        <v>0</v>
      </c>
      <c r="F22">
        <f>Zbiorcza!AU229</f>
        <v>99.69451196885997</v>
      </c>
      <c r="G22">
        <f>Zbiorcza!AV229</f>
        <v>3.1999999999999997</v>
      </c>
      <c r="H22">
        <f>Zbiorcza!AW229</f>
        <v>5215.26</v>
      </c>
      <c r="I22">
        <f>Zbiorcza!AX229</f>
        <v>7237.9750000000004</v>
      </c>
    </row>
    <row r="23" spans="1:9" x14ac:dyDescent="0.25">
      <c r="A23" t="str">
        <f>Zbiorcza!AP230</f>
        <v>III 2016</v>
      </c>
      <c r="B23">
        <f>Zbiorcza!AQ230</f>
        <v>7340.4050000000007</v>
      </c>
      <c r="C23">
        <f>Zbiorcza!AR230</f>
        <v>0</v>
      </c>
      <c r="D23">
        <f>Zbiorcza!AS230</f>
        <v>1</v>
      </c>
      <c r="E23">
        <f>Zbiorcza!AT230</f>
        <v>0</v>
      </c>
      <c r="F23">
        <f>Zbiorcza!AU230</f>
        <v>99.395428432953395</v>
      </c>
      <c r="G23">
        <f>Zbiorcza!AV230</f>
        <v>3.0333333333333332</v>
      </c>
      <c r="H23">
        <f>Zbiorcza!AW230</f>
        <v>5147.24</v>
      </c>
      <c r="I23">
        <f>Zbiorcza!AX230</f>
        <v>7504.75</v>
      </c>
    </row>
    <row r="24" spans="1:9" x14ac:dyDescent="0.25">
      <c r="A24" t="str">
        <f>Zbiorcza!AP231</f>
        <v>IV 2016</v>
      </c>
      <c r="B24">
        <f>Zbiorcza!AQ231</f>
        <v>7423.6450000000004</v>
      </c>
      <c r="C24">
        <f>Zbiorcza!AR231</f>
        <v>0</v>
      </c>
      <c r="D24">
        <f>Zbiorcza!AS231</f>
        <v>1</v>
      </c>
      <c r="E24">
        <f>Zbiorcza!AT231</f>
        <v>0</v>
      </c>
      <c r="F24">
        <f>Zbiorcza!AU231</f>
        <v>100.19059186041703</v>
      </c>
      <c r="G24">
        <f>Zbiorcza!AV231</f>
        <v>2.7666666666666662</v>
      </c>
      <c r="H24">
        <f>Zbiorcza!AW231</f>
        <v>5403.01</v>
      </c>
      <c r="I24">
        <f>Zbiorcza!AX231</f>
        <v>7340.4050000000007</v>
      </c>
    </row>
    <row r="25" spans="1:9" x14ac:dyDescent="0.25">
      <c r="A25" t="str">
        <f>Zbiorcza!AP232</f>
        <v>I 2017</v>
      </c>
      <c r="B25">
        <f>Zbiorcza!AQ232</f>
        <v>7211.9400000000005</v>
      </c>
      <c r="C25">
        <f>Zbiorcza!AR232</f>
        <v>0</v>
      </c>
      <c r="D25">
        <f>Zbiorcza!AS232</f>
        <v>1</v>
      </c>
      <c r="E25">
        <f>Zbiorcza!AT232</f>
        <v>0</v>
      </c>
      <c r="F25">
        <f>Zbiorcza!AU232</f>
        <v>101.1924977790212</v>
      </c>
      <c r="G25">
        <f>Zbiorcza!AV232</f>
        <v>2.6333333333333333</v>
      </c>
      <c r="H25">
        <f>Zbiorcza!AW232</f>
        <v>5600.99</v>
      </c>
      <c r="I25">
        <f>Zbiorcza!AX232</f>
        <v>7423.6450000000004</v>
      </c>
    </row>
    <row r="26" spans="1:9" x14ac:dyDescent="0.25">
      <c r="A26" t="str">
        <f>Zbiorcza!AP233</f>
        <v>II 2017</v>
      </c>
      <c r="B26">
        <f>Zbiorcza!AQ233</f>
        <v>7377.6149999999998</v>
      </c>
      <c r="C26">
        <f>Zbiorcza!AR233</f>
        <v>0</v>
      </c>
      <c r="D26">
        <f>Zbiorcza!AS233</f>
        <v>1</v>
      </c>
      <c r="E26">
        <f>Zbiorcza!AT233</f>
        <v>0</v>
      </c>
      <c r="F26">
        <f>Zbiorcza!AU233</f>
        <v>101.59726777013728</v>
      </c>
      <c r="G26">
        <f>Zbiorcza!AV233</f>
        <v>2.4333333333333336</v>
      </c>
      <c r="H26">
        <f>Zbiorcza!AW233</f>
        <v>5459.95</v>
      </c>
      <c r="I26">
        <f>Zbiorcza!AX233</f>
        <v>7211.9400000000005</v>
      </c>
    </row>
    <row r="27" spans="1:9" x14ac:dyDescent="0.25">
      <c r="A27" t="str">
        <f>Zbiorcza!AP234</f>
        <v>III 2017</v>
      </c>
      <c r="B27">
        <f>Zbiorcza!AQ234</f>
        <v>7641.6849999999995</v>
      </c>
      <c r="C27">
        <f>Zbiorcza!AR234</f>
        <v>0</v>
      </c>
      <c r="D27">
        <f>Zbiorcza!AS234</f>
        <v>1</v>
      </c>
      <c r="E27">
        <f>Zbiorcza!AT234</f>
        <v>0</v>
      </c>
      <c r="F27">
        <f>Zbiorcza!AU234</f>
        <v>101.19087869905673</v>
      </c>
      <c r="G27">
        <f>Zbiorcza!AV234</f>
        <v>2.2999999999999998</v>
      </c>
      <c r="H27">
        <f>Zbiorcza!AW234</f>
        <v>5412.94</v>
      </c>
      <c r="I27">
        <f>Zbiorcza!AX234</f>
        <v>7377.6149999999998</v>
      </c>
    </row>
    <row r="28" spans="1:9" x14ac:dyDescent="0.25">
      <c r="A28" t="str">
        <f>Zbiorcza!AP235</f>
        <v>IV 2017</v>
      </c>
      <c r="B28">
        <f>Zbiorcza!AQ235</f>
        <v>7722.9349999999995</v>
      </c>
      <c r="C28">
        <f>Zbiorcza!AR235</f>
        <v>0</v>
      </c>
      <c r="D28">
        <f>Zbiorcza!AS235</f>
        <v>1</v>
      </c>
      <c r="E28">
        <f>Zbiorcza!AT235</f>
        <v>0</v>
      </c>
      <c r="F28">
        <f>Zbiorcza!AU235</f>
        <v>102.30397836474634</v>
      </c>
      <c r="G28">
        <f>Zbiorcza!AV235</f>
        <v>2.0666666666666669</v>
      </c>
      <c r="H28">
        <f>Zbiorcza!AW235</f>
        <v>5800.4</v>
      </c>
      <c r="I28">
        <f>Zbiorcza!AX235</f>
        <v>7641.6849999999995</v>
      </c>
    </row>
    <row r="29" spans="1:9" x14ac:dyDescent="0.25">
      <c r="A29" t="str">
        <f>Zbiorcza!AP236</f>
        <v>I 2018</v>
      </c>
      <c r="B29">
        <f>Zbiorcza!AQ236</f>
        <v>8077.5749999999998</v>
      </c>
      <c r="C29">
        <f>Zbiorcza!AR236</f>
        <v>0</v>
      </c>
      <c r="D29">
        <f>Zbiorcza!AS236</f>
        <v>1</v>
      </c>
      <c r="E29">
        <f>Zbiorcza!AT236</f>
        <v>0</v>
      </c>
      <c r="F29">
        <f>Zbiorcza!AU236</f>
        <v>102.71319427820532</v>
      </c>
      <c r="G29">
        <f>Zbiorcza!AV236</f>
        <v>1.9666666666666668</v>
      </c>
      <c r="H29">
        <f>Zbiorcza!AW236</f>
        <v>5973.72</v>
      </c>
      <c r="I29">
        <f>Zbiorcza!AX236</f>
        <v>7722.9349999999995</v>
      </c>
    </row>
    <row r="30" spans="1:9" x14ac:dyDescent="0.25">
      <c r="A30" t="str">
        <f>Zbiorcza!AP237</f>
        <v>II 2018</v>
      </c>
      <c r="B30">
        <f>Zbiorcza!AQ237</f>
        <v>8127.4</v>
      </c>
      <c r="C30">
        <f>Zbiorcza!AR237</f>
        <v>0</v>
      </c>
      <c r="D30">
        <f>Zbiorcza!AS237</f>
        <v>1</v>
      </c>
      <c r="E30">
        <f>Zbiorcza!AT237</f>
        <v>0</v>
      </c>
      <c r="F30">
        <f>Zbiorcza!AU237</f>
        <v>103.32947344387455</v>
      </c>
      <c r="G30">
        <f>Zbiorcza!AV237</f>
        <v>1.7666666666666666</v>
      </c>
      <c r="H30">
        <f>Zbiorcza!AW237</f>
        <v>5817.31</v>
      </c>
      <c r="I30">
        <f>Zbiorcza!AX237</f>
        <v>8077.5749999999998</v>
      </c>
    </row>
    <row r="31" spans="1:9" x14ac:dyDescent="0.25">
      <c r="A31" t="str">
        <f>Zbiorcza!AP238</f>
        <v>III 2018</v>
      </c>
      <c r="B31">
        <f>Zbiorcza!AQ238</f>
        <v>8296.8050000000003</v>
      </c>
      <c r="C31">
        <f>Zbiorcza!AR238</f>
        <v>0</v>
      </c>
      <c r="D31">
        <f>Zbiorcza!AS238</f>
        <v>1</v>
      </c>
      <c r="E31">
        <f>Zbiorcza!AT238</f>
        <v>0</v>
      </c>
      <c r="F31">
        <f>Zbiorcza!AU238</f>
        <v>103.12281449698681</v>
      </c>
      <c r="G31">
        <f>Zbiorcza!AV238</f>
        <v>1.6666666666666667</v>
      </c>
      <c r="H31">
        <f>Zbiorcza!AW238</f>
        <v>5788.92</v>
      </c>
      <c r="I31">
        <f>Zbiorcza!AX238</f>
        <v>8127.4</v>
      </c>
    </row>
    <row r="32" spans="1:9" x14ac:dyDescent="0.25">
      <c r="A32" t="str">
        <f>Zbiorcza!AP239</f>
        <v>IV 2018</v>
      </c>
      <c r="B32">
        <f>Zbiorcza!AQ239</f>
        <v>8415.625</v>
      </c>
      <c r="C32">
        <f>Zbiorcza!AR239</f>
        <v>0</v>
      </c>
      <c r="D32">
        <f>Zbiorcza!AS239</f>
        <v>1</v>
      </c>
      <c r="E32">
        <f>Zbiorcza!AT239</f>
        <v>0</v>
      </c>
      <c r="F32">
        <f>Zbiorcza!AU239</f>
        <v>103.74155138396873</v>
      </c>
      <c r="G32">
        <f>Zbiorcza!AV239</f>
        <v>1.5</v>
      </c>
      <c r="H32">
        <f>Zbiorcza!AW239</f>
        <v>6131.29</v>
      </c>
      <c r="I32">
        <f>Zbiorcza!AX239</f>
        <v>8296.8050000000003</v>
      </c>
    </row>
    <row r="33" spans="1:9" x14ac:dyDescent="0.25">
      <c r="A33" t="str">
        <f>Zbiorcza!AP240</f>
        <v>I 2015</v>
      </c>
      <c r="B33">
        <f>Zbiorcza!AQ240</f>
        <v>7421.6533333333327</v>
      </c>
      <c r="C33">
        <f>Zbiorcza!AR240</f>
        <v>0</v>
      </c>
      <c r="D33">
        <f>Zbiorcza!AS240</f>
        <v>0</v>
      </c>
      <c r="E33">
        <f>Zbiorcza!AT240</f>
        <v>1</v>
      </c>
      <c r="F33">
        <f>Zbiorcza!AU240</f>
        <v>100</v>
      </c>
      <c r="G33">
        <f>Zbiorcza!AV240</f>
        <v>4.2333333333333334</v>
      </c>
      <c r="H33">
        <f>Zbiorcza!AW240</f>
        <v>5267.32</v>
      </c>
      <c r="I33">
        <f>Zbiorcza!AX240</f>
        <v>8415.625</v>
      </c>
    </row>
    <row r="34" spans="1:9" x14ac:dyDescent="0.25">
      <c r="A34" t="str">
        <f>Zbiorcza!AP241</f>
        <v>II 2015</v>
      </c>
      <c r="B34">
        <f>Zbiorcza!AQ241</f>
        <v>7515.3766666666661</v>
      </c>
      <c r="C34">
        <f>Zbiorcza!AR241</f>
        <v>0</v>
      </c>
      <c r="D34">
        <f>Zbiorcza!AS241</f>
        <v>0</v>
      </c>
      <c r="E34">
        <f>Zbiorcza!AT241</f>
        <v>1</v>
      </c>
      <c r="F34">
        <f>Zbiorcza!AU241</f>
        <v>100.49999999999999</v>
      </c>
      <c r="G34">
        <f>Zbiorcza!AV241</f>
        <v>3.9666666666666663</v>
      </c>
      <c r="H34">
        <f>Zbiorcza!AW241</f>
        <v>5036.68</v>
      </c>
      <c r="I34">
        <f>Zbiorcza!AX241</f>
        <v>7421.6533333333327</v>
      </c>
    </row>
    <row r="35" spans="1:9" x14ac:dyDescent="0.25">
      <c r="A35" t="str">
        <f>Zbiorcza!AP242</f>
        <v>III 2015</v>
      </c>
      <c r="B35">
        <f>Zbiorcza!AQ242</f>
        <v>7425.706666666666</v>
      </c>
      <c r="C35">
        <f>Zbiorcza!AR242</f>
        <v>0</v>
      </c>
      <c r="D35">
        <f>Zbiorcza!AS242</f>
        <v>0</v>
      </c>
      <c r="E35">
        <f>Zbiorcza!AT242</f>
        <v>1</v>
      </c>
      <c r="F35">
        <f>Zbiorcza!AU242</f>
        <v>100.09799999999998</v>
      </c>
      <c r="G35">
        <f>Zbiorcza!AV242</f>
        <v>3.7666666666666671</v>
      </c>
      <c r="H35">
        <f>Zbiorcza!AW242</f>
        <v>5002.71</v>
      </c>
      <c r="I35">
        <f>Zbiorcza!AX242</f>
        <v>7515.3766666666661</v>
      </c>
    </row>
    <row r="36" spans="1:9" x14ac:dyDescent="0.25">
      <c r="A36" t="str">
        <f>Zbiorcza!AP243</f>
        <v>IV 2015</v>
      </c>
      <c r="B36">
        <f>Zbiorcza!AQ243</f>
        <v>7338.5633333333326</v>
      </c>
      <c r="C36">
        <f>Zbiorcza!AR243</f>
        <v>0</v>
      </c>
      <c r="D36">
        <f>Zbiorcza!AS243</f>
        <v>0</v>
      </c>
      <c r="E36">
        <f>Zbiorcza!AT243</f>
        <v>1</v>
      </c>
      <c r="F36">
        <f>Zbiorcza!AU243</f>
        <v>99.897803999999979</v>
      </c>
      <c r="G36">
        <f>Zbiorcza!AV243</f>
        <v>3.4666666666666663</v>
      </c>
      <c r="H36">
        <f>Zbiorcza!AW243</f>
        <v>5231.3</v>
      </c>
      <c r="I36">
        <f>Zbiorcza!AX243</f>
        <v>7425.706666666666</v>
      </c>
    </row>
    <row r="37" spans="1:9" x14ac:dyDescent="0.25">
      <c r="A37" t="str">
        <f>Zbiorcza!AP244</f>
        <v>I 2016</v>
      </c>
      <c r="B37">
        <f>Zbiorcza!AQ244</f>
        <v>7267.6266666666661</v>
      </c>
      <c r="C37">
        <f>Zbiorcza!AR244</f>
        <v>0</v>
      </c>
      <c r="D37">
        <f>Zbiorcza!AS244</f>
        <v>0</v>
      </c>
      <c r="E37">
        <f>Zbiorcza!AT244</f>
        <v>1</v>
      </c>
      <c r="F37">
        <f>Zbiorcza!AU244</f>
        <v>99.198519371999978</v>
      </c>
      <c r="G37">
        <f>Zbiorcza!AV244</f>
        <v>3.3666666666666667</v>
      </c>
      <c r="H37">
        <f>Zbiorcza!AW244</f>
        <v>5435.95</v>
      </c>
      <c r="I37">
        <f>Zbiorcza!AX244</f>
        <v>7338.5633333333326</v>
      </c>
    </row>
    <row r="38" spans="1:9" x14ac:dyDescent="0.25">
      <c r="A38" t="str">
        <f>Zbiorcza!AP245</f>
        <v>II 2016</v>
      </c>
      <c r="B38">
        <f>Zbiorcza!AQ245</f>
        <v>7284.3733333333339</v>
      </c>
      <c r="C38">
        <f>Zbiorcza!AR245</f>
        <v>0</v>
      </c>
      <c r="D38">
        <f>Zbiorcza!AS245</f>
        <v>0</v>
      </c>
      <c r="E38">
        <f>Zbiorcza!AT245</f>
        <v>1</v>
      </c>
      <c r="F38">
        <f>Zbiorcza!AU245</f>
        <v>99.69451196885997</v>
      </c>
      <c r="G38">
        <f>Zbiorcza!AV245</f>
        <v>3.1999999999999997</v>
      </c>
      <c r="H38">
        <f>Zbiorcza!AW245</f>
        <v>5215.26</v>
      </c>
      <c r="I38">
        <f>Zbiorcza!AX245</f>
        <v>7267.6266666666661</v>
      </c>
    </row>
    <row r="39" spans="1:9" x14ac:dyDescent="0.25">
      <c r="A39" t="str">
        <f>Zbiorcza!AP246</f>
        <v>III 2016</v>
      </c>
      <c r="B39">
        <f>Zbiorcza!AQ246</f>
        <v>7390.48</v>
      </c>
      <c r="C39">
        <f>Zbiorcza!AR246</f>
        <v>0</v>
      </c>
      <c r="D39">
        <f>Zbiorcza!AS246</f>
        <v>0</v>
      </c>
      <c r="E39">
        <f>Zbiorcza!AT246</f>
        <v>1</v>
      </c>
      <c r="F39">
        <f>Zbiorcza!AU246</f>
        <v>99.395428432953395</v>
      </c>
      <c r="G39">
        <f>Zbiorcza!AV246</f>
        <v>3.0333333333333332</v>
      </c>
      <c r="H39">
        <f>Zbiorcza!AW246</f>
        <v>5147.24</v>
      </c>
      <c r="I39">
        <f>Zbiorcza!AX246</f>
        <v>7284.3733333333339</v>
      </c>
    </row>
    <row r="40" spans="1:9" x14ac:dyDescent="0.25">
      <c r="A40" t="str">
        <f>Zbiorcza!AP247</f>
        <v>IV 2016</v>
      </c>
      <c r="B40">
        <f>Zbiorcza!AQ247</f>
        <v>7350.0733333333337</v>
      </c>
      <c r="C40">
        <f>Zbiorcza!AR247</f>
        <v>0</v>
      </c>
      <c r="D40">
        <f>Zbiorcza!AS247</f>
        <v>0</v>
      </c>
      <c r="E40">
        <f>Zbiorcza!AT247</f>
        <v>1</v>
      </c>
      <c r="F40">
        <f>Zbiorcza!AU247</f>
        <v>100.19059186041703</v>
      </c>
      <c r="G40">
        <f>Zbiorcza!AV247</f>
        <v>2.7666666666666662</v>
      </c>
      <c r="H40">
        <f>Zbiorcza!AW247</f>
        <v>5403.01</v>
      </c>
      <c r="I40">
        <f>Zbiorcza!AX247</f>
        <v>7390.48</v>
      </c>
    </row>
    <row r="41" spans="1:9" x14ac:dyDescent="0.25">
      <c r="A41" t="str">
        <f>Zbiorcza!AP248</f>
        <v>I 2017</v>
      </c>
      <c r="B41">
        <f>Zbiorcza!AQ248</f>
        <v>7280.3533333333326</v>
      </c>
      <c r="C41">
        <f>Zbiorcza!AR248</f>
        <v>0</v>
      </c>
      <c r="D41">
        <f>Zbiorcza!AS248</f>
        <v>0</v>
      </c>
      <c r="E41">
        <f>Zbiorcza!AT248</f>
        <v>1</v>
      </c>
      <c r="F41">
        <f>Zbiorcza!AU248</f>
        <v>101.1924977790212</v>
      </c>
      <c r="G41">
        <f>Zbiorcza!AV248</f>
        <v>2.6333333333333333</v>
      </c>
      <c r="H41">
        <f>Zbiorcza!AW248</f>
        <v>5600.99</v>
      </c>
      <c r="I41">
        <f>Zbiorcza!AX248</f>
        <v>7350.0733333333337</v>
      </c>
    </row>
    <row r="42" spans="1:9" x14ac:dyDescent="0.25">
      <c r="A42" t="str">
        <f>Zbiorcza!AP249</f>
        <v>II 2017</v>
      </c>
      <c r="B42">
        <f>Zbiorcza!AQ249</f>
        <v>7301.5933333333332</v>
      </c>
      <c r="C42">
        <f>Zbiorcza!AR249</f>
        <v>0</v>
      </c>
      <c r="D42">
        <f>Zbiorcza!AS249</f>
        <v>0</v>
      </c>
      <c r="E42">
        <f>Zbiorcza!AT249</f>
        <v>1</v>
      </c>
      <c r="F42">
        <f>Zbiorcza!AU249</f>
        <v>101.59726777013728</v>
      </c>
      <c r="G42">
        <f>Zbiorcza!AV249</f>
        <v>2.4333333333333336</v>
      </c>
      <c r="H42">
        <f>Zbiorcza!AW249</f>
        <v>5459.95</v>
      </c>
      <c r="I42">
        <f>Zbiorcza!AX249</f>
        <v>7280.3533333333326</v>
      </c>
    </row>
    <row r="43" spans="1:9" x14ac:dyDescent="0.25">
      <c r="A43" t="str">
        <f>Zbiorcza!AP250</f>
        <v>III 2017</v>
      </c>
      <c r="B43">
        <f>Zbiorcza!AQ250</f>
        <v>7580.6966666666667</v>
      </c>
      <c r="C43">
        <f>Zbiorcza!AR250</f>
        <v>0</v>
      </c>
      <c r="D43">
        <f>Zbiorcza!AS250</f>
        <v>0</v>
      </c>
      <c r="E43">
        <f>Zbiorcza!AT250</f>
        <v>1</v>
      </c>
      <c r="F43">
        <f>Zbiorcza!AU250</f>
        <v>101.19087869905673</v>
      </c>
      <c r="G43">
        <f>Zbiorcza!AV250</f>
        <v>2.2999999999999998</v>
      </c>
      <c r="H43">
        <f>Zbiorcza!AW250</f>
        <v>5412.94</v>
      </c>
      <c r="I43">
        <f>Zbiorcza!AX250</f>
        <v>7301.5933333333332</v>
      </c>
    </row>
    <row r="44" spans="1:9" x14ac:dyDescent="0.25">
      <c r="A44" t="str">
        <f>Zbiorcza!AP251</f>
        <v>IV 2017</v>
      </c>
      <c r="B44">
        <f>Zbiorcza!AQ251</f>
        <v>7676.3533333333326</v>
      </c>
      <c r="C44">
        <f>Zbiorcza!AR251</f>
        <v>0</v>
      </c>
      <c r="D44">
        <f>Zbiorcza!AS251</f>
        <v>0</v>
      </c>
      <c r="E44">
        <f>Zbiorcza!AT251</f>
        <v>1</v>
      </c>
      <c r="F44">
        <f>Zbiorcza!AU251</f>
        <v>102.30397836474634</v>
      </c>
      <c r="G44">
        <f>Zbiorcza!AV251</f>
        <v>2.0666666666666669</v>
      </c>
      <c r="H44">
        <f>Zbiorcza!AW251</f>
        <v>5800.4</v>
      </c>
      <c r="I44">
        <f>Zbiorcza!AX251</f>
        <v>7580.6966666666667</v>
      </c>
    </row>
    <row r="45" spans="1:9" x14ac:dyDescent="0.25">
      <c r="A45" t="str">
        <f>Zbiorcza!AP252</f>
        <v>I 2018</v>
      </c>
      <c r="B45">
        <f>Zbiorcza!AQ252</f>
        <v>8026.0466666666662</v>
      </c>
      <c r="C45">
        <f>Zbiorcza!AR252</f>
        <v>0</v>
      </c>
      <c r="D45">
        <f>Zbiorcza!AS252</f>
        <v>0</v>
      </c>
      <c r="E45">
        <f>Zbiorcza!AT252</f>
        <v>1</v>
      </c>
      <c r="F45">
        <f>Zbiorcza!AU252</f>
        <v>102.71319427820532</v>
      </c>
      <c r="G45">
        <f>Zbiorcza!AV252</f>
        <v>1.9666666666666668</v>
      </c>
      <c r="H45">
        <f>Zbiorcza!AW252</f>
        <v>5973.72</v>
      </c>
      <c r="I45">
        <f>Zbiorcza!AX252</f>
        <v>7676.3533333333326</v>
      </c>
    </row>
    <row r="46" spans="1:9" x14ac:dyDescent="0.25">
      <c r="A46" t="str">
        <f>Zbiorcza!AP253</f>
        <v>II 2018</v>
      </c>
      <c r="B46">
        <f>Zbiorcza!AQ253</f>
        <v>7985.623333333333</v>
      </c>
      <c r="C46">
        <f>Zbiorcza!AR253</f>
        <v>0</v>
      </c>
      <c r="D46">
        <f>Zbiorcza!AS253</f>
        <v>0</v>
      </c>
      <c r="E46">
        <f>Zbiorcza!AT253</f>
        <v>1</v>
      </c>
      <c r="F46">
        <f>Zbiorcza!AU253</f>
        <v>103.32947344387455</v>
      </c>
      <c r="G46">
        <f>Zbiorcza!AV253</f>
        <v>1.7666666666666666</v>
      </c>
      <c r="H46">
        <f>Zbiorcza!AW253</f>
        <v>5817.31</v>
      </c>
      <c r="I46">
        <f>Zbiorcza!AX253</f>
        <v>8026.0466666666662</v>
      </c>
    </row>
    <row r="47" spans="1:9" x14ac:dyDescent="0.25">
      <c r="A47" t="str">
        <f>Zbiorcza!AP254</f>
        <v>III 2018</v>
      </c>
      <c r="B47">
        <f>Zbiorcza!AQ254</f>
        <v>7962.9800000000005</v>
      </c>
      <c r="C47">
        <f>Zbiorcza!AR254</f>
        <v>0</v>
      </c>
      <c r="D47">
        <f>Zbiorcza!AS254</f>
        <v>0</v>
      </c>
      <c r="E47">
        <f>Zbiorcza!AT254</f>
        <v>1</v>
      </c>
      <c r="F47">
        <f>Zbiorcza!AU254</f>
        <v>103.12281449698681</v>
      </c>
      <c r="G47">
        <f>Zbiorcza!AV254</f>
        <v>1.6666666666666667</v>
      </c>
      <c r="H47">
        <f>Zbiorcza!AW254</f>
        <v>5788.92</v>
      </c>
      <c r="I47">
        <f>Zbiorcza!AX254</f>
        <v>7985.623333333333</v>
      </c>
    </row>
    <row r="48" spans="1:9" x14ac:dyDescent="0.25">
      <c r="A48" t="str">
        <f>Zbiorcza!AP255</f>
        <v>IV 2018</v>
      </c>
      <c r="B48">
        <f>Zbiorcza!AQ255</f>
        <v>8116.0766666666668</v>
      </c>
      <c r="C48">
        <f>Zbiorcza!AR255</f>
        <v>0</v>
      </c>
      <c r="D48">
        <f>Zbiorcza!AS255</f>
        <v>0</v>
      </c>
      <c r="E48">
        <f>Zbiorcza!AT255</f>
        <v>1</v>
      </c>
      <c r="F48">
        <f>Zbiorcza!AU255</f>
        <v>103.74155138396873</v>
      </c>
      <c r="G48">
        <f>Zbiorcza!AV255</f>
        <v>1.5</v>
      </c>
      <c r="H48">
        <f>Zbiorcza!AW255</f>
        <v>6131.29</v>
      </c>
      <c r="I48">
        <f>Zbiorcza!AX255</f>
        <v>7962.9800000000005</v>
      </c>
    </row>
    <row r="49" spans="1:9" x14ac:dyDescent="0.25">
      <c r="A49" t="str">
        <f>Zbiorcza!AP256</f>
        <v>I 2015</v>
      </c>
      <c r="B49">
        <f>Zbiorcza!AQ256</f>
        <v>8251.6899999999987</v>
      </c>
      <c r="C49">
        <f>Zbiorcza!AR256</f>
        <v>-1</v>
      </c>
      <c r="D49">
        <f>Zbiorcza!AS256</f>
        <v>-1</v>
      </c>
      <c r="E49">
        <f>Zbiorcza!AT256</f>
        <v>-1</v>
      </c>
      <c r="F49">
        <f>Zbiorcza!AU256</f>
        <v>100</v>
      </c>
      <c r="G49">
        <f>Zbiorcza!AV256</f>
        <v>4.2333333333333334</v>
      </c>
      <c r="H49">
        <f>Zbiorcza!AW256</f>
        <v>5267.32</v>
      </c>
      <c r="I49">
        <f>Zbiorcza!AX256</f>
        <v>8116.0766666666668</v>
      </c>
    </row>
    <row r="50" spans="1:9" x14ac:dyDescent="0.25">
      <c r="A50" t="str">
        <f>Zbiorcza!AP257</f>
        <v>II 2015</v>
      </c>
      <c r="B50">
        <f>Zbiorcza!AQ257</f>
        <v>8207.380000000001</v>
      </c>
      <c r="C50">
        <f>Zbiorcza!AR257</f>
        <v>-1</v>
      </c>
      <c r="D50">
        <f>Zbiorcza!AS257</f>
        <v>-1</v>
      </c>
      <c r="E50">
        <f>Zbiorcza!AT257</f>
        <v>-1</v>
      </c>
      <c r="F50">
        <f>Zbiorcza!AU257</f>
        <v>100.49999999999999</v>
      </c>
      <c r="G50">
        <f>Zbiorcza!AV257</f>
        <v>3.9666666666666663</v>
      </c>
      <c r="H50">
        <f>Zbiorcza!AW257</f>
        <v>5036.68</v>
      </c>
      <c r="I50">
        <f>Zbiorcza!AX257</f>
        <v>8251.6899999999987</v>
      </c>
    </row>
    <row r="51" spans="1:9" x14ac:dyDescent="0.25">
      <c r="A51" t="str">
        <f>Zbiorcza!AP258</f>
        <v>III 2015</v>
      </c>
      <c r="B51">
        <f>Zbiorcza!AQ258</f>
        <v>7988.2</v>
      </c>
      <c r="C51">
        <f>Zbiorcza!AR258</f>
        <v>-1</v>
      </c>
      <c r="D51">
        <f>Zbiorcza!AS258</f>
        <v>-1</v>
      </c>
      <c r="E51">
        <f>Zbiorcza!AT258</f>
        <v>-1</v>
      </c>
      <c r="F51">
        <f>Zbiorcza!AU258</f>
        <v>100.09799999999998</v>
      </c>
      <c r="G51">
        <f>Zbiorcza!AV258</f>
        <v>3.7666666666666671</v>
      </c>
      <c r="H51">
        <f>Zbiorcza!AW258</f>
        <v>5002.71</v>
      </c>
      <c r="I51">
        <f>Zbiorcza!AX258</f>
        <v>8207.380000000001</v>
      </c>
    </row>
    <row r="52" spans="1:9" x14ac:dyDescent="0.25">
      <c r="A52" t="str">
        <f>Zbiorcza!AP259</f>
        <v>IV 2015</v>
      </c>
      <c r="B52">
        <f>Zbiorcza!AQ259</f>
        <v>7965.0949999999993</v>
      </c>
      <c r="C52">
        <f>Zbiorcza!AR259</f>
        <v>-1</v>
      </c>
      <c r="D52">
        <f>Zbiorcza!AS259</f>
        <v>-1</v>
      </c>
      <c r="E52">
        <f>Zbiorcza!AT259</f>
        <v>-1</v>
      </c>
      <c r="F52">
        <f>Zbiorcza!AU259</f>
        <v>99.897803999999979</v>
      </c>
      <c r="G52">
        <f>Zbiorcza!AV259</f>
        <v>3.4666666666666663</v>
      </c>
      <c r="H52">
        <f>Zbiorcza!AW259</f>
        <v>5231.3</v>
      </c>
      <c r="I52">
        <f>Zbiorcza!AX259</f>
        <v>7988.2</v>
      </c>
    </row>
    <row r="53" spans="1:9" x14ac:dyDescent="0.25">
      <c r="A53" t="str">
        <f>Zbiorcza!AP260</f>
        <v>I 2016</v>
      </c>
      <c r="B53">
        <f>Zbiorcza!AQ260</f>
        <v>7923.3950000000004</v>
      </c>
      <c r="C53">
        <f>Zbiorcza!AR260</f>
        <v>-1</v>
      </c>
      <c r="D53">
        <f>Zbiorcza!AS260</f>
        <v>-1</v>
      </c>
      <c r="E53">
        <f>Zbiorcza!AT260</f>
        <v>-1</v>
      </c>
      <c r="F53">
        <f>Zbiorcza!AU260</f>
        <v>99.198519371999978</v>
      </c>
      <c r="G53">
        <f>Zbiorcza!AV260</f>
        <v>3.3666666666666667</v>
      </c>
      <c r="H53">
        <f>Zbiorcza!AW260</f>
        <v>5435.95</v>
      </c>
      <c r="I53">
        <f>Zbiorcza!AX260</f>
        <v>7965.0949999999993</v>
      </c>
    </row>
    <row r="54" spans="1:9" x14ac:dyDescent="0.25">
      <c r="A54" t="str">
        <f>Zbiorcza!AP261</f>
        <v>II 2016</v>
      </c>
      <c r="B54">
        <f>Zbiorcza!AQ261</f>
        <v>7963.7549999999992</v>
      </c>
      <c r="C54">
        <f>Zbiorcza!AR261</f>
        <v>-1</v>
      </c>
      <c r="D54">
        <f>Zbiorcza!AS261</f>
        <v>-1</v>
      </c>
      <c r="E54">
        <f>Zbiorcza!AT261</f>
        <v>-1</v>
      </c>
      <c r="F54">
        <f>Zbiorcza!AU261</f>
        <v>99.69451196885997</v>
      </c>
      <c r="G54">
        <f>Zbiorcza!AV261</f>
        <v>3.1999999999999997</v>
      </c>
      <c r="H54">
        <f>Zbiorcza!AW261</f>
        <v>5215.26</v>
      </c>
      <c r="I54">
        <f>Zbiorcza!AX261</f>
        <v>7923.3950000000004</v>
      </c>
    </row>
    <row r="55" spans="1:9" x14ac:dyDescent="0.25">
      <c r="A55" t="str">
        <f>Zbiorcza!AP262</f>
        <v>III 2016</v>
      </c>
      <c r="B55">
        <f>Zbiorcza!AQ262</f>
        <v>8202.9</v>
      </c>
      <c r="C55">
        <f>Zbiorcza!AR262</f>
        <v>-1</v>
      </c>
      <c r="D55">
        <f>Zbiorcza!AS262</f>
        <v>-1</v>
      </c>
      <c r="E55">
        <f>Zbiorcza!AT262</f>
        <v>-1</v>
      </c>
      <c r="F55">
        <f>Zbiorcza!AU262</f>
        <v>99.395428432953395</v>
      </c>
      <c r="G55">
        <f>Zbiorcza!AV262</f>
        <v>3.0333333333333332</v>
      </c>
      <c r="H55">
        <f>Zbiorcza!AW262</f>
        <v>5147.24</v>
      </c>
      <c r="I55">
        <f>Zbiorcza!AX262</f>
        <v>7963.7549999999992</v>
      </c>
    </row>
    <row r="56" spans="1:9" x14ac:dyDescent="0.25">
      <c r="A56" t="str">
        <f>Zbiorcza!AP263</f>
        <v>IV 2016</v>
      </c>
      <c r="B56">
        <f>Zbiorcza!AQ263</f>
        <v>8125.29</v>
      </c>
      <c r="C56">
        <f>Zbiorcza!AR263</f>
        <v>-1</v>
      </c>
      <c r="D56">
        <f>Zbiorcza!AS263</f>
        <v>-1</v>
      </c>
      <c r="E56">
        <f>Zbiorcza!AT263</f>
        <v>-1</v>
      </c>
      <c r="F56">
        <f>Zbiorcza!AU263</f>
        <v>100.19059186041703</v>
      </c>
      <c r="G56">
        <f>Zbiorcza!AV263</f>
        <v>2.7666666666666662</v>
      </c>
      <c r="H56">
        <f>Zbiorcza!AW263</f>
        <v>5403.01</v>
      </c>
      <c r="I56">
        <f>Zbiorcza!AX263</f>
        <v>8202.9</v>
      </c>
    </row>
    <row r="57" spans="1:9" x14ac:dyDescent="0.25">
      <c r="A57" t="str">
        <f>Zbiorcza!AP264</f>
        <v>I 2017</v>
      </c>
      <c r="B57">
        <f>Zbiorcza!AQ264</f>
        <v>8344.99</v>
      </c>
      <c r="C57">
        <f>Zbiorcza!AR264</f>
        <v>-1</v>
      </c>
      <c r="D57">
        <f>Zbiorcza!AS264</f>
        <v>-1</v>
      </c>
      <c r="E57">
        <f>Zbiorcza!AT264</f>
        <v>-1</v>
      </c>
      <c r="F57">
        <f>Zbiorcza!AU264</f>
        <v>101.1924977790212</v>
      </c>
      <c r="G57">
        <f>Zbiorcza!AV264</f>
        <v>2.6333333333333333</v>
      </c>
      <c r="H57">
        <f>Zbiorcza!AW264</f>
        <v>5600.99</v>
      </c>
      <c r="I57">
        <f>Zbiorcza!AX264</f>
        <v>8125.29</v>
      </c>
    </row>
    <row r="58" spans="1:9" x14ac:dyDescent="0.25">
      <c r="A58" t="str">
        <f>Zbiorcza!AP265</f>
        <v>II 2017</v>
      </c>
      <c r="B58">
        <f>Zbiorcza!AQ265</f>
        <v>8036.78</v>
      </c>
      <c r="C58">
        <f>Zbiorcza!AR265</f>
        <v>-1</v>
      </c>
      <c r="D58">
        <f>Zbiorcza!AS265</f>
        <v>-1</v>
      </c>
      <c r="E58">
        <f>Zbiorcza!AT265</f>
        <v>-1</v>
      </c>
      <c r="F58">
        <f>Zbiorcza!AU265</f>
        <v>101.59726777013728</v>
      </c>
      <c r="G58">
        <f>Zbiorcza!AV265</f>
        <v>2.4333333333333336</v>
      </c>
      <c r="H58">
        <f>Zbiorcza!AW265</f>
        <v>5459.95</v>
      </c>
      <c r="I58">
        <f>Zbiorcza!AX265</f>
        <v>8344.99</v>
      </c>
    </row>
    <row r="59" spans="1:9" x14ac:dyDescent="0.25">
      <c r="A59" t="str">
        <f>Zbiorcza!AP266</f>
        <v>III 2017</v>
      </c>
      <c r="B59">
        <f>Zbiorcza!AQ266</f>
        <v>8056.17</v>
      </c>
      <c r="C59">
        <f>Zbiorcza!AR266</f>
        <v>-1</v>
      </c>
      <c r="D59">
        <f>Zbiorcza!AS266</f>
        <v>-1</v>
      </c>
      <c r="E59">
        <f>Zbiorcza!AT266</f>
        <v>-1</v>
      </c>
      <c r="F59">
        <f>Zbiorcza!AU266</f>
        <v>101.19087869905673</v>
      </c>
      <c r="G59">
        <f>Zbiorcza!AV266</f>
        <v>2.2999999999999998</v>
      </c>
      <c r="H59">
        <f>Zbiorcza!AW266</f>
        <v>5412.94</v>
      </c>
      <c r="I59">
        <f>Zbiorcza!AX266</f>
        <v>8036.78</v>
      </c>
    </row>
    <row r="60" spans="1:9" x14ac:dyDescent="0.25">
      <c r="A60" t="str">
        <f>Zbiorcza!AP267</f>
        <v>IV 2017</v>
      </c>
      <c r="B60">
        <f>Zbiorcza!AQ267</f>
        <v>8268.89</v>
      </c>
      <c r="C60">
        <f>Zbiorcza!AR267</f>
        <v>-1</v>
      </c>
      <c r="D60">
        <f>Zbiorcza!AS267</f>
        <v>-1</v>
      </c>
      <c r="E60">
        <f>Zbiorcza!AT267</f>
        <v>-1</v>
      </c>
      <c r="F60">
        <f>Zbiorcza!AU267</f>
        <v>102.30397836474634</v>
      </c>
      <c r="G60">
        <f>Zbiorcza!AV267</f>
        <v>2.0666666666666669</v>
      </c>
      <c r="H60">
        <f>Zbiorcza!AW267</f>
        <v>5800.4</v>
      </c>
      <c r="I60">
        <f>Zbiorcza!AX267</f>
        <v>8056.17</v>
      </c>
    </row>
    <row r="61" spans="1:9" x14ac:dyDescent="0.25">
      <c r="A61" t="str">
        <f>Zbiorcza!AP268</f>
        <v>I 2018</v>
      </c>
      <c r="B61">
        <f>Zbiorcza!AQ268</f>
        <v>8534.8050000000003</v>
      </c>
      <c r="C61">
        <f>Zbiorcza!AR268</f>
        <v>-1</v>
      </c>
      <c r="D61">
        <f>Zbiorcza!AS268</f>
        <v>-1</v>
      </c>
      <c r="E61">
        <f>Zbiorcza!AT268</f>
        <v>-1</v>
      </c>
      <c r="F61">
        <f>Zbiorcza!AU268</f>
        <v>102.71319427820532</v>
      </c>
      <c r="G61">
        <f>Zbiorcza!AV268</f>
        <v>1.9666666666666668</v>
      </c>
      <c r="H61">
        <f>Zbiorcza!AW268</f>
        <v>5973.72</v>
      </c>
      <c r="I61">
        <f>Zbiorcza!AX268</f>
        <v>8268.89</v>
      </c>
    </row>
    <row r="62" spans="1:9" x14ac:dyDescent="0.25">
      <c r="A62" t="str">
        <f>Zbiorcza!AP269</f>
        <v>II 2018</v>
      </c>
      <c r="B62">
        <f>Zbiorcza!AQ269</f>
        <v>9125.0950000000012</v>
      </c>
      <c r="C62">
        <f>Zbiorcza!AR269</f>
        <v>-1</v>
      </c>
      <c r="D62">
        <f>Zbiorcza!AS269</f>
        <v>-1</v>
      </c>
      <c r="E62">
        <f>Zbiorcza!AT269</f>
        <v>-1</v>
      </c>
      <c r="F62">
        <f>Zbiorcza!AU269</f>
        <v>103.32947344387455</v>
      </c>
      <c r="G62">
        <f>Zbiorcza!AV269</f>
        <v>1.7666666666666666</v>
      </c>
      <c r="H62">
        <f>Zbiorcza!AW269</f>
        <v>5817.31</v>
      </c>
      <c r="I62">
        <f>Zbiorcza!AX269</f>
        <v>8534.8050000000003</v>
      </c>
    </row>
    <row r="63" spans="1:9" x14ac:dyDescent="0.25">
      <c r="A63" t="str">
        <f>Zbiorcza!AP270</f>
        <v>III 2018</v>
      </c>
      <c r="B63">
        <f>Zbiorcza!AQ270</f>
        <v>8981.3150000000005</v>
      </c>
      <c r="C63">
        <f>Zbiorcza!AR270</f>
        <v>-1</v>
      </c>
      <c r="D63">
        <f>Zbiorcza!AS270</f>
        <v>-1</v>
      </c>
      <c r="E63">
        <f>Zbiorcza!AT270</f>
        <v>-1</v>
      </c>
      <c r="F63">
        <f>Zbiorcza!AU270</f>
        <v>103.12281449698681</v>
      </c>
      <c r="G63">
        <f>Zbiorcza!AV270</f>
        <v>1.6666666666666667</v>
      </c>
      <c r="H63">
        <f>Zbiorcza!AW270</f>
        <v>5788.92</v>
      </c>
      <c r="I63">
        <f>Zbiorcza!AX270</f>
        <v>9125.0950000000012</v>
      </c>
    </row>
    <row r="64" spans="1:9" x14ac:dyDescent="0.25">
      <c r="A64" t="str">
        <f>Zbiorcza!AP271</f>
        <v>IV 2018</v>
      </c>
      <c r="B64">
        <f>Zbiorcza!AQ271</f>
        <v>9161.74</v>
      </c>
      <c r="C64">
        <f>Zbiorcza!AR271</f>
        <v>-1</v>
      </c>
      <c r="D64">
        <f>Zbiorcza!AS271</f>
        <v>-1</v>
      </c>
      <c r="E64">
        <f>Zbiorcza!AT271</f>
        <v>-1</v>
      </c>
      <c r="F64">
        <f>Zbiorcza!AU271</f>
        <v>103.74155138396873</v>
      </c>
      <c r="G64">
        <f>Zbiorcza!AV271</f>
        <v>1.5</v>
      </c>
      <c r="H64">
        <f>Zbiorcza!AW271</f>
        <v>6131.29</v>
      </c>
      <c r="I64">
        <f>Zbiorcza!AX271</f>
        <v>8981.3150000000005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78"/>
  <sheetViews>
    <sheetView workbookViewId="0">
      <selection activeCell="D27" sqref="D27"/>
    </sheetView>
  </sheetViews>
  <sheetFormatPr defaultRowHeight="15" x14ac:dyDescent="0.25"/>
  <cols>
    <col min="1" max="1" width="15.42578125" customWidth="1"/>
    <col min="2" max="2" width="25.28515625" customWidth="1"/>
    <col min="3" max="8" width="13.5703125" customWidth="1"/>
  </cols>
  <sheetData>
    <row r="4" spans="2:8" ht="15.75" thickBot="1" x14ac:dyDescent="0.3">
      <c r="B4" s="69" t="s">
        <v>151</v>
      </c>
    </row>
    <row r="5" spans="2:8" ht="15.75" thickBot="1" x14ac:dyDescent="0.3">
      <c r="B5" s="70" t="s">
        <v>154</v>
      </c>
      <c r="C5" s="71"/>
      <c r="D5" s="71"/>
      <c r="E5" s="71"/>
      <c r="F5" s="71"/>
    </row>
    <row r="6" spans="2:8" ht="15.75" thickBot="1" x14ac:dyDescent="0.3">
      <c r="B6" s="62" t="s">
        <v>155</v>
      </c>
      <c r="C6" s="60" t="s">
        <v>156</v>
      </c>
      <c r="D6" s="60" t="s">
        <v>140</v>
      </c>
      <c r="E6" s="60" t="s">
        <v>142</v>
      </c>
      <c r="F6" s="63" t="s">
        <v>137</v>
      </c>
    </row>
    <row r="7" spans="2:8" ht="15.75" thickBot="1" x14ac:dyDescent="0.3">
      <c r="B7" s="64" t="s">
        <v>156</v>
      </c>
      <c r="C7" s="61">
        <v>321510.65302000003</v>
      </c>
      <c r="D7" s="61">
        <v>23674.574967</v>
      </c>
      <c r="E7" s="61">
        <v>-14500.49991</v>
      </c>
      <c r="F7" s="65">
        <v>-55.024096800000002</v>
      </c>
      <c r="H7" s="68"/>
    </row>
    <row r="8" spans="2:8" ht="15.75" thickBot="1" x14ac:dyDescent="0.3">
      <c r="B8" s="64" t="s">
        <v>140</v>
      </c>
      <c r="C8" s="61">
        <v>23674.574967</v>
      </c>
      <c r="D8" s="61">
        <v>4409.0242208999998</v>
      </c>
      <c r="E8" s="61">
        <v>-2400.862838</v>
      </c>
      <c r="F8" s="65">
        <v>-4.0567629250000001</v>
      </c>
    </row>
    <row r="9" spans="2:8" ht="15.75" thickBot="1" x14ac:dyDescent="0.3">
      <c r="B9" s="64" t="s">
        <v>142</v>
      </c>
      <c r="C9" s="61">
        <v>-14500.49991</v>
      </c>
      <c r="D9" s="61">
        <v>-2400.862838</v>
      </c>
      <c r="E9" s="61">
        <v>3236.0942899000001</v>
      </c>
      <c r="F9" s="65">
        <v>2.4855543087999998</v>
      </c>
    </row>
    <row r="10" spans="2:8" x14ac:dyDescent="0.25">
      <c r="B10" s="66" t="s">
        <v>137</v>
      </c>
      <c r="C10" s="67">
        <v>-55.024096800000002</v>
      </c>
      <c r="D10" s="67">
        <v>-4.0567629250000001</v>
      </c>
      <c r="E10" s="67">
        <v>2.4855543087999998</v>
      </c>
      <c r="F10" s="68">
        <v>9.4455562999999996E-3</v>
      </c>
    </row>
    <row r="12" spans="2:8" ht="15.75" thickBot="1" x14ac:dyDescent="0.3">
      <c r="B12" s="69" t="s">
        <v>152</v>
      </c>
    </row>
    <row r="13" spans="2:8" ht="15.75" thickBot="1" x14ac:dyDescent="0.3">
      <c r="B13" s="70" t="s">
        <v>154</v>
      </c>
      <c r="C13" s="71"/>
      <c r="D13" s="71"/>
      <c r="E13" s="71"/>
      <c r="F13" s="71"/>
      <c r="G13" s="71"/>
    </row>
    <row r="14" spans="2:8" ht="15.75" thickBot="1" x14ac:dyDescent="0.3">
      <c r="B14" s="62" t="s">
        <v>155</v>
      </c>
      <c r="C14" s="60" t="s">
        <v>156</v>
      </c>
      <c r="D14" s="60" t="s">
        <v>140</v>
      </c>
      <c r="E14" s="60" t="s">
        <v>141</v>
      </c>
      <c r="F14" s="60" t="s">
        <v>142</v>
      </c>
      <c r="G14" s="63" t="s">
        <v>137</v>
      </c>
    </row>
    <row r="15" spans="2:8" ht="15.75" thickBot="1" x14ac:dyDescent="0.3">
      <c r="B15" s="64" t="s">
        <v>156</v>
      </c>
      <c r="C15" s="61">
        <v>434208.38662</v>
      </c>
      <c r="D15" s="61">
        <v>21213.65972</v>
      </c>
      <c r="E15" s="61">
        <v>-10115.03789</v>
      </c>
      <c r="F15" s="61">
        <v>-19364.703109999999</v>
      </c>
      <c r="G15" s="65">
        <v>-66.030971190000002</v>
      </c>
    </row>
    <row r="16" spans="2:8" ht="15.75" thickBot="1" x14ac:dyDescent="0.3">
      <c r="B16" s="64" t="s">
        <v>140</v>
      </c>
      <c r="C16" s="61">
        <v>21213.65972</v>
      </c>
      <c r="D16" s="61">
        <v>2868.4872037</v>
      </c>
      <c r="E16" s="61">
        <v>-1104.8696480000001</v>
      </c>
      <c r="F16" s="61">
        <v>-1556.76666</v>
      </c>
      <c r="G16" s="65">
        <v>-3.225976062</v>
      </c>
    </row>
    <row r="17" spans="2:8" ht="15.75" thickBot="1" x14ac:dyDescent="0.3">
      <c r="B17" s="64" t="s">
        <v>141</v>
      </c>
      <c r="C17" s="61">
        <v>-10115.03789</v>
      </c>
      <c r="D17" s="61">
        <v>-1104.8696480000001</v>
      </c>
      <c r="E17" s="61">
        <v>1991.3990174</v>
      </c>
      <c r="F17" s="61">
        <v>-121.3001087</v>
      </c>
      <c r="G17" s="65">
        <v>1.5388367790999999</v>
      </c>
    </row>
    <row r="18" spans="2:8" ht="15.75" thickBot="1" x14ac:dyDescent="0.3">
      <c r="B18" s="64" t="s">
        <v>142</v>
      </c>
      <c r="C18" s="61">
        <v>-19364.703109999999</v>
      </c>
      <c r="D18" s="61">
        <v>-1556.76666</v>
      </c>
      <c r="E18" s="61">
        <v>-121.3001087</v>
      </c>
      <c r="F18" s="61">
        <v>2619.8303516000001</v>
      </c>
      <c r="G18" s="65">
        <v>2.9473722194</v>
      </c>
    </row>
    <row r="19" spans="2:8" x14ac:dyDescent="0.25">
      <c r="B19" s="66" t="s">
        <v>137</v>
      </c>
      <c r="C19" s="67">
        <v>-66.030971190000002</v>
      </c>
      <c r="D19" s="67">
        <v>-3.225976062</v>
      </c>
      <c r="E19" s="67">
        <v>1.5388367790999999</v>
      </c>
      <c r="F19" s="67">
        <v>2.9473722194</v>
      </c>
      <c r="G19" s="68">
        <v>1.0055170699999999E-2</v>
      </c>
    </row>
    <row r="21" spans="2:8" ht="15.75" thickBot="1" x14ac:dyDescent="0.3">
      <c r="B21" s="69" t="s">
        <v>153</v>
      </c>
    </row>
    <row r="22" spans="2:8" ht="15.75" thickBot="1" x14ac:dyDescent="0.3">
      <c r="B22" s="70" t="s">
        <v>154</v>
      </c>
      <c r="C22" s="71"/>
      <c r="D22" s="71"/>
      <c r="E22" s="71"/>
      <c r="F22" s="71"/>
      <c r="G22" s="71"/>
      <c r="H22" s="71"/>
    </row>
    <row r="23" spans="2:8" ht="15.75" thickBot="1" x14ac:dyDescent="0.3">
      <c r="B23" s="62" t="s">
        <v>155</v>
      </c>
      <c r="C23" s="60" t="s">
        <v>156</v>
      </c>
      <c r="D23" s="60" t="s">
        <v>140</v>
      </c>
      <c r="E23" s="60" t="s">
        <v>141</v>
      </c>
      <c r="F23" s="60" t="s">
        <v>142</v>
      </c>
      <c r="G23" s="60" t="s">
        <v>143</v>
      </c>
      <c r="H23" s="63" t="s">
        <v>137</v>
      </c>
    </row>
    <row r="24" spans="2:8" ht="15.75" thickBot="1" x14ac:dyDescent="0.3">
      <c r="B24" s="64" t="s">
        <v>156</v>
      </c>
      <c r="C24" s="61">
        <v>4059704.6115000001</v>
      </c>
      <c r="D24" s="61">
        <v>-10859.84231</v>
      </c>
      <c r="E24" s="61">
        <v>14047.673349000001</v>
      </c>
      <c r="F24" s="61">
        <v>16556.155878000001</v>
      </c>
      <c r="G24" s="61">
        <v>-44300.892979999997</v>
      </c>
      <c r="H24" s="65">
        <v>53.438055663999997</v>
      </c>
    </row>
    <row r="25" spans="2:8" ht="15.75" thickBot="1" x14ac:dyDescent="0.3">
      <c r="B25" s="64" t="s">
        <v>140</v>
      </c>
      <c r="C25" s="61">
        <v>-10859.84231</v>
      </c>
      <c r="D25" s="61">
        <v>2745.7098941999998</v>
      </c>
      <c r="E25" s="61">
        <v>-1242.2484010000001</v>
      </c>
      <c r="F25" s="61">
        <v>-1320.914</v>
      </c>
      <c r="G25" s="61">
        <v>238.64042626</v>
      </c>
      <c r="H25" s="65">
        <v>-1.675808636</v>
      </c>
    </row>
    <row r="26" spans="2:8" ht="15.75" thickBot="1" x14ac:dyDescent="0.3">
      <c r="B26" s="64" t="s">
        <v>141</v>
      </c>
      <c r="C26" s="61">
        <v>14047.673349000001</v>
      </c>
      <c r="D26" s="61">
        <v>-1242.2484010000001</v>
      </c>
      <c r="E26" s="61">
        <v>2766.3615392000002</v>
      </c>
      <c r="F26" s="61">
        <v>-113.76864380000001</v>
      </c>
      <c r="G26" s="61">
        <v>-288.10467540000002</v>
      </c>
      <c r="H26" s="65">
        <v>1.9087112930000001</v>
      </c>
    </row>
    <row r="27" spans="2:8" ht="15.75" thickBot="1" x14ac:dyDescent="0.3">
      <c r="B27" s="64" t="s">
        <v>142</v>
      </c>
      <c r="C27" s="61">
        <v>16556.155878000001</v>
      </c>
      <c r="D27" s="61">
        <v>-1320.914</v>
      </c>
      <c r="E27" s="61">
        <v>-113.76864380000001</v>
      </c>
      <c r="F27" s="61">
        <v>2960.8043247000001</v>
      </c>
      <c r="G27" s="61">
        <v>-338.27513149999999</v>
      </c>
      <c r="H27" s="65">
        <v>2.2334919210000002</v>
      </c>
    </row>
    <row r="28" spans="2:8" ht="15.75" thickBot="1" x14ac:dyDescent="0.3">
      <c r="B28" s="64" t="s">
        <v>143</v>
      </c>
      <c r="C28" s="61">
        <v>-44300.892979999997</v>
      </c>
      <c r="D28" s="61">
        <v>238.64042626</v>
      </c>
      <c r="E28" s="61">
        <v>-288.10467540000002</v>
      </c>
      <c r="F28" s="61">
        <v>-338.27513149999999</v>
      </c>
      <c r="G28" s="61">
        <v>521.44654195999999</v>
      </c>
      <c r="H28" s="65">
        <v>-1.0687782729999999</v>
      </c>
    </row>
    <row r="29" spans="2:8" x14ac:dyDescent="0.25">
      <c r="B29" s="66" t="s">
        <v>137</v>
      </c>
      <c r="C29" s="67">
        <v>53.438055663999997</v>
      </c>
      <c r="D29" s="67">
        <v>-1.675808636</v>
      </c>
      <c r="E29" s="67">
        <v>1.9087112930000001</v>
      </c>
      <c r="F29" s="67">
        <v>2.2334919210000002</v>
      </c>
      <c r="G29" s="67">
        <v>-1.0687782729999999</v>
      </c>
      <c r="H29" s="68">
        <v>6.9187826000000003E-3</v>
      </c>
    </row>
    <row r="35" spans="1:6" x14ac:dyDescent="0.25">
      <c r="A35" t="s">
        <v>151</v>
      </c>
      <c r="B35" t="s">
        <v>162</v>
      </c>
      <c r="C35">
        <v>247.57123999999999</v>
      </c>
      <c r="D35">
        <f t="shared" ref="D35" si="0">C35^2</f>
        <v>61291.518875137597</v>
      </c>
    </row>
    <row r="37" spans="1:6" x14ac:dyDescent="0.25">
      <c r="B37" t="s">
        <v>158</v>
      </c>
      <c r="C37" s="72">
        <v>1</v>
      </c>
      <c r="D37" s="72">
        <v>1</v>
      </c>
      <c r="E37" s="72">
        <v>0</v>
      </c>
      <c r="F37" s="72">
        <v>6984.1</v>
      </c>
    </row>
    <row r="39" spans="1:6" x14ac:dyDescent="0.25">
      <c r="B39" t="s">
        <v>157</v>
      </c>
      <c r="C39" s="72">
        <v>1</v>
      </c>
    </row>
    <row r="40" spans="1:6" x14ac:dyDescent="0.25">
      <c r="C40" s="72">
        <v>1</v>
      </c>
    </row>
    <row r="41" spans="1:6" x14ac:dyDescent="0.25">
      <c r="C41" s="72">
        <v>0</v>
      </c>
    </row>
    <row r="42" spans="1:6" x14ac:dyDescent="0.25">
      <c r="C42" s="72">
        <v>6984.1</v>
      </c>
    </row>
    <row r="44" spans="1:6" x14ac:dyDescent="0.25">
      <c r="B44" t="s">
        <v>159</v>
      </c>
      <c r="C44" s="72">
        <f t="array" ref="C44:F44">MMULT(C37:F37,C7:F10)</f>
        <v>-39108.566473880026</v>
      </c>
      <c r="D44" s="72">
        <v>-249.23875659250189</v>
      </c>
      <c r="E44" s="72">
        <v>457.99710009008049</v>
      </c>
      <c r="F44" s="72">
        <v>6.8878500298299983</v>
      </c>
    </row>
    <row r="45" spans="1:6" x14ac:dyDescent="0.25">
      <c r="B45" t="s">
        <v>160</v>
      </c>
      <c r="C45" s="72">
        <f>MMULT(C44:F44,C39:C42)</f>
        <v>8747.6281628631623</v>
      </c>
    </row>
    <row r="46" spans="1:6" x14ac:dyDescent="0.25">
      <c r="B46" t="s">
        <v>161</v>
      </c>
      <c r="C46" s="72">
        <f>C45+D35</f>
        <v>70039.147038000752</v>
      </c>
    </row>
    <row r="47" spans="1:6" x14ac:dyDescent="0.25">
      <c r="B47" t="s">
        <v>163</v>
      </c>
      <c r="C47" s="72">
        <f>SQRT(C46)</f>
        <v>264.64910171395019</v>
      </c>
    </row>
    <row r="49" spans="1:8" x14ac:dyDescent="0.25">
      <c r="A49" t="s">
        <v>153</v>
      </c>
      <c r="B49" t="s">
        <v>162</v>
      </c>
      <c r="C49">
        <v>217.98087000000001</v>
      </c>
      <c r="D49" s="72">
        <f>C49^2</f>
        <v>47515.659685956904</v>
      </c>
    </row>
    <row r="51" spans="1:8" x14ac:dyDescent="0.25">
      <c r="B51" t="s">
        <v>158</v>
      </c>
      <c r="C51" s="72">
        <v>1</v>
      </c>
      <c r="D51" s="72">
        <v>1</v>
      </c>
      <c r="E51" s="72">
        <v>0</v>
      </c>
      <c r="F51" s="72">
        <v>0</v>
      </c>
      <c r="G51" s="72">
        <v>103.949</v>
      </c>
      <c r="H51" s="72">
        <v>8999.6</v>
      </c>
    </row>
    <row r="53" spans="1:8" x14ac:dyDescent="0.25">
      <c r="B53" t="s">
        <v>157</v>
      </c>
      <c r="C53" s="72">
        <v>1</v>
      </c>
    </row>
    <row r="54" spans="1:8" x14ac:dyDescent="0.25">
      <c r="C54" s="72">
        <v>1</v>
      </c>
    </row>
    <row r="55" spans="1:8" x14ac:dyDescent="0.25">
      <c r="C55" s="72">
        <v>0</v>
      </c>
    </row>
    <row r="56" spans="1:8" x14ac:dyDescent="0.25">
      <c r="C56" s="72">
        <v>0</v>
      </c>
    </row>
    <row r="57" spans="1:8" x14ac:dyDescent="0.25">
      <c r="C57" s="72">
        <v>103.949</v>
      </c>
    </row>
    <row r="58" spans="1:8" x14ac:dyDescent="0.25">
      <c r="C58" s="72">
        <v>8999.6</v>
      </c>
    </row>
    <row r="60" spans="1:8" x14ac:dyDescent="0.25">
      <c r="B60" t="s">
        <v>159</v>
      </c>
      <c r="C60" s="72">
        <f t="array" ref="C60:H60">MMULT(C51:H51,C24:H29)</f>
        <v>-75267.629434285103</v>
      </c>
      <c r="D60" s="72">
        <v>1610.6938529551371</v>
      </c>
      <c r="E60" s="72">
        <v>34.870197328200447</v>
      </c>
      <c r="F60" s="72">
        <v>172.41412593810674</v>
      </c>
      <c r="G60" s="72">
        <v>523.01709076923908</v>
      </c>
      <c r="H60" s="72">
        <v>2.9300902148830019</v>
      </c>
    </row>
    <row r="61" spans="1:8" x14ac:dyDescent="0.25">
      <c r="B61" t="s">
        <v>160</v>
      </c>
      <c r="C61" s="72">
        <f t="array" ref="C61">MMULT(C60:H60,C53:C58)</f>
        <v>7079.807884902737</v>
      </c>
    </row>
    <row r="62" spans="1:8" x14ac:dyDescent="0.25">
      <c r="B62" t="s">
        <v>161</v>
      </c>
      <c r="C62" s="72">
        <f>C61+D49</f>
        <v>54595.467570859641</v>
      </c>
    </row>
    <row r="63" spans="1:8" x14ac:dyDescent="0.25">
      <c r="B63" t="s">
        <v>163</v>
      </c>
      <c r="C63" s="72">
        <f>SQRT(C62)</f>
        <v>233.65673020664232</v>
      </c>
    </row>
    <row r="65" spans="1:7" x14ac:dyDescent="0.25">
      <c r="A65" t="s">
        <v>164</v>
      </c>
      <c r="B65" t="s">
        <v>162</v>
      </c>
      <c r="C65">
        <v>193.00820999999999</v>
      </c>
      <c r="D65" s="72">
        <f t="shared" ref="D65" si="1">C65^2</f>
        <v>37252.169127404093</v>
      </c>
    </row>
    <row r="67" spans="1:7" x14ac:dyDescent="0.25">
      <c r="B67" t="s">
        <v>158</v>
      </c>
      <c r="C67" s="72">
        <v>1</v>
      </c>
      <c r="D67" s="72">
        <v>1</v>
      </c>
      <c r="E67" s="72">
        <v>0</v>
      </c>
      <c r="F67" s="72">
        <v>0</v>
      </c>
      <c r="G67" s="72">
        <v>7000.8</v>
      </c>
    </row>
    <row r="69" spans="1:7" x14ac:dyDescent="0.25">
      <c r="B69" t="s">
        <v>157</v>
      </c>
      <c r="C69" s="72">
        <v>1</v>
      </c>
    </row>
    <row r="70" spans="1:7" x14ac:dyDescent="0.25">
      <c r="C70" s="72">
        <v>1</v>
      </c>
    </row>
    <row r="71" spans="1:7" x14ac:dyDescent="0.25">
      <c r="C71" s="72">
        <v>0</v>
      </c>
    </row>
    <row r="72" spans="1:7" x14ac:dyDescent="0.25">
      <c r="C72" s="72">
        <v>0</v>
      </c>
    </row>
    <row r="73" spans="1:7" x14ac:dyDescent="0.25">
      <c r="C73" s="72">
        <v>7000.8</v>
      </c>
    </row>
    <row r="75" spans="1:7" x14ac:dyDescent="0.25">
      <c r="B75" t="s">
        <v>159</v>
      </c>
      <c r="C75" s="72">
        <f t="array" ref="C75:G75">MMULT(C67:G67,C15:G19)</f>
        <v>-6847.5767669520574</v>
      </c>
      <c r="D75" s="72">
        <v>1497.7337088503991</v>
      </c>
      <c r="E75" s="72">
        <v>-446.81901487671894</v>
      </c>
      <c r="F75" s="72">
        <v>-287.50633642447792</v>
      </c>
      <c r="G75" s="72">
        <v>1.1372917845599915</v>
      </c>
    </row>
    <row r="76" spans="1:7" x14ac:dyDescent="0.25">
      <c r="B76" t="s">
        <v>160</v>
      </c>
      <c r="C76" s="72">
        <f t="array" ref="C76">MMULT(C75:G75,C69:C73)</f>
        <v>2612.1092672459299</v>
      </c>
    </row>
    <row r="77" spans="1:7" x14ac:dyDescent="0.25">
      <c r="B77" t="s">
        <v>161</v>
      </c>
      <c r="C77" s="72">
        <f>C76+D65</f>
        <v>39864.27839465002</v>
      </c>
    </row>
    <row r="78" spans="1:7" x14ac:dyDescent="0.25">
      <c r="B78" t="s">
        <v>163</v>
      </c>
      <c r="C78" s="72">
        <f>SQRT(C77)</f>
        <v>199.6604076792643</v>
      </c>
    </row>
  </sheetData>
  <mergeCells count="3">
    <mergeCell ref="B5:F5"/>
    <mergeCell ref="B13:G13"/>
    <mergeCell ref="B22:H2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Zbiorcza</vt:lpstr>
      <vt:lpstr>Gdansk_2</vt:lpstr>
      <vt:lpstr>Gdansk_2d</vt:lpstr>
      <vt:lpstr>Wroclaw_2</vt:lpstr>
      <vt:lpstr>Wroclaw_2d</vt:lpstr>
      <vt:lpstr>Krakow_2</vt:lpstr>
      <vt:lpstr>Krakow_2d</vt:lpstr>
      <vt:lpstr>Warszawa_2</vt:lpstr>
      <vt:lpstr>Warszawa_2d</vt:lpstr>
      <vt:lpstr>PROGNOZA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</dc:creator>
  <cp:lastModifiedBy>Ola</cp:lastModifiedBy>
  <dcterms:created xsi:type="dcterms:W3CDTF">2019-04-24T18:29:20Z</dcterms:created>
  <dcterms:modified xsi:type="dcterms:W3CDTF">2019-06-13T08:42:14Z</dcterms:modified>
</cp:coreProperties>
</file>